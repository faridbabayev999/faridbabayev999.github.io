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nalysis" sheetId="2" state="visible" r:id="rId4"/>
    <sheet name="Daily_Data" sheetId="3" state="visible" r:id="rId5"/>
    <sheet name="Weekly_5Y" sheetId="4" state="visible" r:id="rId6"/>
    <sheet name="Monthly_5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<sst xmlns="http://schemas.openxmlformats.org/spreadsheetml/2006/main" count="86" uniqueCount="68">
  <si>
    <t xml:space="preserve">NVIDIA (NVDA) — Data-Driven Investment Pitch: Calculation Workbook</t>
  </si>
  <si>
    <t xml:space="preserve">Prepared for</t>
  </si>
  <si>
    <t xml:space="preserve">Financial Analytics (RWTH Business School) — In-Class Investment Pitch</t>
  </si>
  <si>
    <t xml:space="preserve">Company</t>
  </si>
  <si>
    <t xml:space="preserve">NVIDIA Corporation (NVDA) — market = SPY (S&amp;P 500 ETF); benchmark-trap check = QQQ; competitor = AMD</t>
  </si>
  <si>
    <t xml:space="preserve">Data source</t>
  </si>
  <si>
    <t xml:space="preserve">stockanalysis.com historical API — split &amp; dividend ADJUSTED close. Cross-checked vs Yahoo/Macrotrends (close 02-Jul-2026 = $194.83).</t>
  </si>
  <si>
    <t xml:space="preserve">Daily window</t>
  </si>
  <si>
    <t xml:space="preserve">See "Daily_Data" tab: 26-Mar-2024 to 29-May-2026  (545 daily returns). Mirrors the class DataBeta window.</t>
  </si>
  <si>
    <t xml:space="preserve">5-year window</t>
  </si>
  <si>
    <t xml:space="preserve">See "Weekly_5Y" &amp; "Monthly_5Y" tabs: 01-Jun-2021 to 26-May-2026  (used for the 5-year VaR &amp; 5-year beta).</t>
  </si>
  <si>
    <t xml:space="preserve">Methods (as taught)</t>
  </si>
  <si>
    <t xml:space="preserve">Returns Rt=(Pt-Pt-1)/Pt-1 · Vol=STDEV.S · Beta=COVARIANCE.S/VAR.S = SLOPE · Sharpe=(Rp-Rf)/sigma · Parametric VaR=mean+_xlfn.NORM.S.INV(1-c)*sd · Historical VaR=-_xlfn.PERCENTILE.INC(r,1-c) · CVaR=AVERAGEIF · Annualise x252 (daily) or x52 (weekly).</t>
  </si>
  <si>
    <t xml:space="preserve">Risk-free rate (Rf)</t>
  </si>
  <si>
    <t xml:space="preserve">4.0% — the value used in the class Markowitz/Sharpe task (Day 3). Editable on the Analysis tab (blue cell).</t>
  </si>
  <si>
    <t xml:space="preserve">Colour key</t>
  </si>
  <si>
    <t xml:space="preserve">BLUE = hard input you can change · BLACK = live formula. Every statistic recomputes if you edit inputs.</t>
  </si>
  <si>
    <t xml:space="preserve">Note</t>
  </si>
  <si>
    <t xml:space="preserve">Educational use only; not investment advice.</t>
  </si>
  <si>
    <t xml:space="preserve">NVDA — Quantitative Analysis Summary</t>
  </si>
  <si>
    <t xml:space="preserve">(black = live formula; blue = editable input)</t>
  </si>
  <si>
    <t xml:space="preserve">Assumptions</t>
  </si>
  <si>
    <t xml:space="preserve">Risk-free rate  Rf</t>
  </si>
  <si>
    <t xml:space="preserve">Confidence level (VaR)</t>
  </si>
  <si>
    <t xml:space="preserve">Trading days / year</t>
  </si>
  <si>
    <t xml:space="preserve">Position size ($)</t>
  </si>
  <si>
    <t xml:space="preserve">A) DAILY metrics  (Mar-2024 to May-2026, 545 obs)</t>
  </si>
  <si>
    <t xml:space="preserve">Metric</t>
  </si>
  <si>
    <t xml:space="preserve">NVDA</t>
  </si>
  <si>
    <t xml:space="preserve">SPY</t>
  </si>
  <si>
    <t xml:space="preserve">QQQ</t>
  </si>
  <si>
    <t xml:space="preserve">AMD</t>
  </si>
  <si>
    <t xml:space="preserve">Ann. return  (mean x252)</t>
  </si>
  <si>
    <t xml:space="preserve">Ann. volatility  (STDEV.S x√252)</t>
  </si>
  <si>
    <t xml:space="preserve">Sharpe ratio  ((R-Rf)/σ)</t>
  </si>
  <si>
    <t xml:space="preserve">Beta vs SPY  (COVAR.S/VAR.S)</t>
  </si>
  <si>
    <t xml:space="preserve">Beta vs SPY  (SLOPE — check)</t>
  </si>
  <si>
    <t xml:space="preserve">Correlation vs SPY</t>
  </si>
  <si>
    <t xml:space="preserve">1-day 95% VaR — Parametric</t>
  </si>
  <si>
    <t xml:space="preserve">1-day 95% VaR — Historical</t>
  </si>
  <si>
    <t xml:space="preserve">1-day 95% CVaR (Exp. Shortfall)</t>
  </si>
  <si>
    <t xml:space="preserve">NVDA 1-day 95% VaR on position ($)</t>
  </si>
  <si>
    <t xml:space="preserve">parametric</t>
  </si>
  <si>
    <t xml:space="preserve">Max drawdown (NVDA, daily window)</t>
  </si>
  <si>
    <t xml:space="preserve">Beta NVDA vs QQQ (benchmark-trap)</t>
  </si>
  <si>
    <t xml:space="preserve">CAPM E[R] = Rf + β·(Rm−Rf)  [Rm=SPY ann.]</t>
  </si>
  <si>
    <t xml:space="preserve">B) 5-YEAR metrics  (weekly, Jun-2021 to May-2026, 260 obs)</t>
  </si>
  <si>
    <t xml:space="preserve">Ann. return (x52)</t>
  </si>
  <si>
    <t xml:space="preserve">Ann. volatility (x√52)</t>
  </si>
  <si>
    <t xml:space="preserve">Sharpe (weekly-based)</t>
  </si>
  <si>
    <t xml:space="preserve">1-week 95% VaR — Historical</t>
  </si>
  <si>
    <t xml:space="preserve">5Y beta NVDA vs SPY (weekly, SLOPE)</t>
  </si>
  <si>
    <t xml:space="preserve">5Y beta NVDA vs SPY (MONTHLY, SLOPE)</t>
  </si>
  <si>
    <t xml:space="preserve">≈ published 5Y beta</t>
  </si>
  <si>
    <t xml:space="preserve">NVDA 5Y total price return</t>
  </si>
  <si>
    <t xml:space="preserve">Max drawdown (NVDA, 5Y weekly)</t>
  </si>
  <si>
    <t xml:space="preserve">(array)</t>
  </si>
  <si>
    <t xml:space="preserve">Date</t>
  </si>
  <si>
    <t xml:space="preserve">NVDA (Adj Close)</t>
  </si>
  <si>
    <t xml:space="preserve">SPY (Adj Close)</t>
  </si>
  <si>
    <t xml:space="preserve">QQQ (Adj Close)</t>
  </si>
  <si>
    <t xml:space="preserve">AMD (Adj Close)</t>
  </si>
  <si>
    <t xml:space="preserve">NVDA Return</t>
  </si>
  <si>
    <t xml:space="preserve">SPY Return</t>
  </si>
  <si>
    <t xml:space="preserve">QQQ Return</t>
  </si>
  <si>
    <t xml:space="preserve">AMD Return</t>
  </si>
  <si>
    <t xml:space="preserve">NVDA Peak</t>
  </si>
  <si>
    <t xml:space="preserve">NVDA Drawdown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</si>
</sst>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"/>
    <numFmt numFmtId="167" formatCode="0.00"/>
    <numFmt numFmtId="168" formatCode="0.00%"/>
    <numFmt numFmtId="169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  <c r="C4" s="3" t="s">
        <v>2</v>
      </c>
    </row>
    <row r="5" customFormat="false" ht="30" hidden="false" customHeight="true" outlineLevel="0" collapsed="false">
      <c r="B5" s="2" t="s">
        <v>3</v>
      </c>
      <c r="C5" s="3" t="s">
        <v>4</v>
      </c>
    </row>
    <row r="6" customFormat="false" ht="30" hidden="false" customHeight="true" outlineLevel="0" collapsed="false">
      <c r="B6" s="2" t="s">
        <v>5</v>
      </c>
      <c r="C6" s="3" t="s">
        <v>6</v>
      </c>
    </row>
    <row r="7" customFormat="false" ht="30" hidden="false" customHeight="true" outlineLevel="0" collapsed="false">
      <c r="B7" s="2" t="s">
        <v>7</v>
      </c>
      <c r="C7" s="3" t="s">
        <v>8</v>
      </c>
    </row>
    <row r="8" customFormat="false" ht="30" hidden="false" customHeight="true" outlineLevel="0" collapsed="false">
      <c r="B8" s="2" t="s">
        <v>9</v>
      </c>
      <c r="C8" s="3" t="s">
        <v>10</v>
      </c>
    </row>
    <row r="9" customFormat="false" ht="30" hidden="false" customHeight="true" outlineLevel="0" collapsed="false">
      <c r="B9" s="2" t="s">
        <v>11</v>
      </c>
      <c r="C9" s="3" t="s">
        <v>12</v>
      </c>
    </row>
    <row r="10" customFormat="false" ht="30" hidden="false" customHeight="true" outlineLevel="0" collapsed="false">
      <c r="B10" s="2" t="s">
        <v>13</v>
      </c>
      <c r="C10" s="3" t="s">
        <v>14</v>
      </c>
    </row>
    <row r="11" customFormat="false" ht="30" hidden="false" customHeight="true" outlineLevel="0" collapsed="false">
      <c r="B11" s="2" t="s">
        <v>15</v>
      </c>
      <c r="C11" s="3" t="s">
        <v>16</v>
      </c>
    </row>
    <row r="12" customFormat="false" ht="15" hidden="false" customHeight="true" outlineLevel="0" collapsed="false">
      <c r="B12" s="2" t="s">
        <v>17</v>
      </c>
      <c r="C1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3"/>
    <col collapsed="false" customWidth="true" hidden="false" outlineLevel="0" max="8" min="7" style="0" width="15"/>
  </cols>
  <sheetData>
    <row r="2" customFormat="false" ht="17.35" hidden="false" customHeight="false" outlineLevel="0" collapsed="false">
      <c r="B2" s="4" t="s">
        <v>19</v>
      </c>
    </row>
    <row r="3" customFormat="false" ht="15" hidden="false" customHeight="false" outlineLevel="0" collapsed="false">
      <c r="B3" s="5" t="s">
        <v>20</v>
      </c>
    </row>
    <row r="5" customFormat="false" ht="15" hidden="false" customHeight="false" outlineLevel="0" collapsed="false">
      <c r="B5" s="6" t="s">
        <v>21</v>
      </c>
      <c r="C5" s="7"/>
      <c r="D5" s="7"/>
    </row>
    <row r="6" customFormat="false" ht="15" hidden="false" customHeight="false" outlineLevel="0" collapsed="false">
      <c r="B6" s="8" t="s">
        <v>22</v>
      </c>
      <c r="C6" s="9" t="n">
        <v>0.04</v>
      </c>
    </row>
    <row r="7" customFormat="false" ht="15" hidden="false" customHeight="false" outlineLevel="0" collapsed="false">
      <c r="B7" s="8" t="s">
        <v>23</v>
      </c>
      <c r="C7" s="9" t="n">
        <v>0.95</v>
      </c>
    </row>
    <row r="8" customFormat="false" ht="15" hidden="false" customHeight="false" outlineLevel="0" collapsed="false">
      <c r="B8" s="8" t="s">
        <v>24</v>
      </c>
      <c r="C8" s="10" t="n">
        <v>252</v>
      </c>
    </row>
    <row r="9" customFormat="false" ht="15" hidden="false" customHeight="false" outlineLevel="0" collapsed="false">
      <c r="B9" s="8" t="s">
        <v>25</v>
      </c>
      <c r="C9" s="11" t="n">
        <v>100000</v>
      </c>
    </row>
    <row r="11" customFormat="false" ht="15" hidden="false" customHeight="false" outlineLevel="0" collapsed="false">
      <c r="B11" s="12" t="s">
        <v>26</v>
      </c>
    </row>
    <row r="12" customFormat="false" ht="15" hidden="false" customHeight="false" outlineLevel="0" collapsed="false">
      <c r="B12" s="13" t="s">
        <v>27</v>
      </c>
      <c r="C12" s="13" t="s">
        <v>28</v>
      </c>
      <c r="D12" s="13" t="s">
        <v>29</v>
      </c>
      <c r="E12" s="13" t="s">
        <v>30</v>
      </c>
      <c r="F12" s="13" t="s">
        <v>31</v>
      </c>
    </row>
    <row r="13" customFormat="false" ht="15" hidden="false" customHeight="false" outlineLevel="0" collapsed="false">
      <c r="B13" s="8" t="s">
        <v>32</v>
      </c>
      <c r="C13" s="14" t="n">
        <f aca="false">AVERAGE(Daily_Data!$G$3:$G$547)*$C$8</f>
        <v>0.499169665771785</v>
      </c>
      <c r="D13" s="14" t="n">
        <f aca="false">AVERAGE(Daily_Data!$H$3:$H$547)*$C$8</f>
        <v>0.198792196681036</v>
      </c>
      <c r="E13" s="14" t="n">
        <f aca="false">AVERAGE(Daily_Data!$I$3:$I$547)*$C$8</f>
        <v>0.262736074503448</v>
      </c>
      <c r="F13" s="14" t="n">
        <f aca="false">AVERAGE(Daily_Data!$J$3:$J$547)*$C$8</f>
        <v>0.66094692615269</v>
      </c>
    </row>
    <row r="14" customFormat="false" ht="15" hidden="false" customHeight="false" outlineLevel="0" collapsed="false">
      <c r="B14" s="8" t="s">
        <v>33</v>
      </c>
      <c r="C14" s="14" t="n">
        <f aca="false">_xlfn.STDEV.S(Daily_Data!$G$3:$G$547)*SQRT($C$8)</f>
        <v>0.484514000734994</v>
      </c>
      <c r="D14" s="14" t="n">
        <f aca="false">_xlfn.STDEV.S(Daily_Data!$H$3:$H$547)*SQRT($C$8)</f>
        <v>0.163397116650549</v>
      </c>
      <c r="E14" s="14" t="n">
        <f aca="false">_xlfn.STDEV.S(Daily_Data!$I$3:$I$547)*SQRT($C$8)</f>
        <v>0.209256257924171</v>
      </c>
      <c r="F14" s="14" t="n">
        <f aca="false">_xlfn.STDEV.S(Daily_Data!$J$3:$J$547)*SQRT($C$8)</f>
        <v>0.586159865405686</v>
      </c>
    </row>
    <row r="15" customFormat="false" ht="15" hidden="false" customHeight="false" outlineLevel="0" collapsed="false">
      <c r="B15" s="8" t="s">
        <v>34</v>
      </c>
      <c r="C15" s="15" t="n">
        <f aca="false">(AVERAGE(Daily_Data!$G$3:$G$547)*$C$8-$C$6)/(_xlfn.STDEV.S(Daily_Data!$G$3:$G$547)*SQRT($C$8))</f>
        <v>0.947691222699937</v>
      </c>
      <c r="D15" s="15" t="n">
        <f aca="false">(AVERAGE(Daily_Data!$H$3:$H$547)*$C$8-$C$6)/(_xlfn.STDEV.S(Daily_Data!$H$3:$H$547)*SQRT($C$8))</f>
        <v>0.971817617936542</v>
      </c>
      <c r="E15" s="15" t="n">
        <f aca="false">(AVERAGE(Daily_Data!$I$3:$I$547)*$C$8-$C$6)/(_xlfn.STDEV.S(Daily_Data!$I$3:$I$547)*SQRT($C$8))</f>
        <v>1.06441774651328</v>
      </c>
      <c r="F15" s="15" t="n">
        <f aca="false">(AVERAGE(Daily_Data!$J$3:$J$547)*$C$8-$C$6)/(_xlfn.STDEV.S(Daily_Data!$J$3:$J$547)*SQRT($C$8))</f>
        <v>1.05934739445685</v>
      </c>
    </row>
    <row r="16" customFormat="false" ht="15" hidden="false" customHeight="false" outlineLevel="0" collapsed="false">
      <c r="B16" s="8" t="s">
        <v>35</v>
      </c>
      <c r="C16" s="15" t="n">
        <f aca="false">_xlfn.COVARIANCE.S(Daily_Data!$G$3:$G$547,Daily_Data!$H$3:$H$547)/_xlfn.VAR.S(Daily_Data!$H$3:$H$547)</f>
        <v>2.01500633944696</v>
      </c>
      <c r="D16" s="15" t="n">
        <f aca="false">1</f>
        <v>1</v>
      </c>
      <c r="E16" s="15" t="n">
        <f aca="false">_xlfn.COVARIANCE.S(Daily_Data!$I$3:$I$547,Daily_Data!$H$3:$H$547)/_xlfn.VAR.S(Daily_Data!$H$3:$H$547)</f>
        <v>1.22910230948529</v>
      </c>
      <c r="F16" s="15" t="n">
        <f aca="false">_xlfn.COVARIANCE.S(Daily_Data!$J$3:$J$547,Daily_Data!$H$3:$H$547)/_xlfn.VAR.S(Daily_Data!$H$3:$H$547)</f>
        <v>2.18745142973003</v>
      </c>
    </row>
    <row r="17" customFormat="false" ht="15" hidden="false" customHeight="false" outlineLevel="0" collapsed="false">
      <c r="B17" s="8" t="s">
        <v>36</v>
      </c>
      <c r="C17" s="15" t="n">
        <f aca="false">SLOPE(Daily_Data!$G$3:$G$547,Daily_Data!$H$3:$H$547)</f>
        <v>2.01500633944696</v>
      </c>
      <c r="D17" s="15" t="n">
        <f aca="false">1</f>
        <v>1</v>
      </c>
      <c r="E17" s="15" t="n">
        <f aca="false">SLOPE(Daily_Data!$I$3:$I$547,Daily_Data!$H$3:$H$547)</f>
        <v>1.22910230948529</v>
      </c>
      <c r="F17" s="15" t="n">
        <f aca="false">SLOPE(Daily_Data!$J$3:$J$547,Daily_Data!$H$3:$H$547)</f>
        <v>2.18745142973003</v>
      </c>
    </row>
    <row r="18" customFormat="false" ht="15" hidden="false" customHeight="false" outlineLevel="0" collapsed="false">
      <c r="B18" s="8" t="s">
        <v>37</v>
      </c>
      <c r="C18" s="15" t="n">
        <f aca="false">CORREL(Daily_Data!$G$3:$G$547,Daily_Data!$H$3:$H$547)</f>
        <v>0.679539136947028</v>
      </c>
      <c r="D18" s="15" t="n">
        <f aca="false">1</f>
        <v>1</v>
      </c>
      <c r="E18" s="15" t="n">
        <f aca="false">CORREL(Daily_Data!$I$3:$I$547,Daily_Data!$H$3:$H$547)</f>
        <v>0.959740824148749</v>
      </c>
      <c r="F18" s="15" t="n">
        <f aca="false">CORREL(Daily_Data!$J$3:$J$547,Daily_Data!$H$3:$H$547)</f>
        <v>0.609770947356882</v>
      </c>
    </row>
    <row r="19" customFormat="false" ht="15" hidden="false" customHeight="false" outlineLevel="0" collapsed="false">
      <c r="B19" s="8" t="s">
        <v>38</v>
      </c>
      <c r="C19" s="16" t="n">
        <f aca="false">-(AVERAGE(Daily_Data!$G$3:$G$547)+_xlfn.NORM.S.INV(1-$C$7)*_xlfn.STDEV.S(Daily_Data!$G$3:$G$547))</f>
        <v>0.0482225896124313</v>
      </c>
      <c r="D19" s="16" t="n">
        <f aca="false">-(AVERAGE(Daily_Data!$H$3:$H$547)+_xlfn.NORM.S.INV(1-$C$7)*_xlfn.STDEV.S(Daily_Data!$H$3:$H$547))</f>
        <v>0.0161417040958572</v>
      </c>
      <c r="E19" s="16" t="n">
        <f aca="false">-(AVERAGE(Daily_Data!$I$3:$I$547)+_xlfn.NORM.S.INV(1-$C$7)*_xlfn.STDEV.S(Daily_Data!$I$3:$I$547))</f>
        <v>0.0206397011218585</v>
      </c>
      <c r="F19" s="16" t="n">
        <f aca="false">-(AVERAGE(Daily_Data!$J$3:$J$547)+_xlfn.NORM.S.INV(1-$C$7)*_xlfn.STDEV.S(Daily_Data!$J$3:$J$547))</f>
        <v>0.0581127582397381</v>
      </c>
    </row>
    <row r="20" customFormat="false" ht="15" hidden="false" customHeight="false" outlineLevel="0" collapsed="false">
      <c r="B20" s="8" t="s">
        <v>39</v>
      </c>
      <c r="C20" s="16" t="n">
        <f aca="false">-_xlfn.PERCENTILE.INC(Daily_Data!$G$3:$G$547,1-$C$7)</f>
        <v>0.0449423250410176</v>
      </c>
      <c r="D20" s="16" t="n">
        <f aca="false">-_xlfn.PERCENTILE.INC(Daily_Data!$H$3:$H$547,1-$C$7)</f>
        <v>0.0154119562662251</v>
      </c>
      <c r="E20" s="16" t="n">
        <f aca="false">-_xlfn.PERCENTILE.INC(Daily_Data!$I$3:$I$547,1-$C$7)</f>
        <v>0.0206345429706114</v>
      </c>
      <c r="F20" s="16" t="n">
        <f aca="false">-_xlfn.PERCENTILE.INC(Daily_Data!$J$3:$J$547,1-$C$7)</f>
        <v>0.0528402670438838</v>
      </c>
    </row>
    <row r="21" customFormat="false" ht="15" hidden="false" customHeight="false" outlineLevel="0" collapsed="false">
      <c r="B21" s="8" t="s">
        <v>40</v>
      </c>
      <c r="C21" s="16" t="n">
        <f aca="false">-AVERAGEIF(Daily_Data!$G$3:$G$547,"&lt;="&amp;(AVERAGE(Daily_Data!$G$3:$G$547)+_xlfn.NORM.S.INV(1-$C$7)*_xlfn.STDEV.S(Daily_Data!$G$3:$G$547)))</f>
        <v>0.0716601606323747</v>
      </c>
      <c r="D21" s="16" t="n">
        <f aca="false">-AVERAGEIF(Daily_Data!$H$3:$H$547,"&lt;="&amp;(AVERAGE(Daily_Data!$H$3:$H$547)+_xlfn.NORM.S.INV(1-$C$7)*_xlfn.STDEV.S(Daily_Data!$H$3:$H$547)))</f>
        <v>0.024423805926893</v>
      </c>
      <c r="E21" s="16" t="n">
        <f aca="false">-AVERAGEIF(Daily_Data!$I$3:$I$547,"&lt;="&amp;(AVERAGE(Daily_Data!$I$3:$I$547)+_xlfn.NORM.S.INV(1-$C$7)*_xlfn.STDEV.S(Daily_Data!$I$3:$I$547)))</f>
        <v>0.0298786906402096</v>
      </c>
      <c r="F21" s="16" t="n">
        <f aca="false">-AVERAGEIF(Daily_Data!$J$3:$J$547,"&lt;="&amp;(AVERAGE(Daily_Data!$J$3:$J$547)+_xlfn.NORM.S.INV(1-$C$7)*_xlfn.STDEV.S(Daily_Data!$J$3:$J$547)))</f>
        <v>0.0814945790970015</v>
      </c>
    </row>
    <row r="22" customFormat="false" ht="15" hidden="false" customHeight="false" outlineLevel="0" collapsed="false">
      <c r="B22" s="8" t="s">
        <v>41</v>
      </c>
      <c r="C22" s="17" t="n">
        <f aca="false">-$C$9*(AVERAGE(Daily_Data!$G$3:$G$547)+_xlfn.NORM.S.INV(1-$C$7)*_xlfn.STDEV.S(Daily_Data!$G$3:$G$547))</f>
        <v>4822.25896124313</v>
      </c>
      <c r="D22" s="18" t="s">
        <v>42</v>
      </c>
    </row>
    <row r="23" customFormat="false" ht="15" hidden="false" customHeight="false" outlineLevel="0" collapsed="false">
      <c r="B23" s="8" t="s">
        <v>43</v>
      </c>
      <c r="C23" s="19" t="n">
        <f aca="false">MIN(Daily_Data!$M$3:$M$547)</f>
        <v>-0.368810332689752</v>
      </c>
    </row>
    <row r="25" customFormat="false" ht="15" hidden="false" customHeight="false" outlineLevel="0" collapsed="false">
      <c r="B25" s="8" t="s">
        <v>44</v>
      </c>
      <c r="C25" s="20" t="n">
        <f aca="false">SLOPE(Daily_Data!$G$3:$G$547,Daily_Data!$I$3:$I$547)</f>
        <v>1.75474227359656</v>
      </c>
    </row>
    <row r="26" customFormat="false" ht="15" hidden="false" customHeight="false" outlineLevel="0" collapsed="false">
      <c r="B26" s="8" t="s">
        <v>45</v>
      </c>
      <c r="C26" s="19" t="n">
        <f aca="false">$C$6+SLOPE(Daily_Data!$G$3:$G$547,Daily_Data!$H$3:$H$547)*((AVERAGE(Daily_Data!$H$3:$H$547)*$C$8)-$C$6)</f>
        <v>0.359967282966995</v>
      </c>
    </row>
    <row r="28" customFormat="false" ht="15" hidden="false" customHeight="false" outlineLevel="0" collapsed="false">
      <c r="B28" s="12" t="s">
        <v>46</v>
      </c>
    </row>
    <row r="29" customFormat="false" ht="15" hidden="false" customHeight="false" outlineLevel="0" collapsed="false">
      <c r="B29" s="13" t="s">
        <v>27</v>
      </c>
      <c r="C29" s="13" t="s">
        <v>28</v>
      </c>
      <c r="D29" s="13" t="s">
        <v>29</v>
      </c>
      <c r="E29" s="13" t="s">
        <v>30</v>
      </c>
    </row>
    <row r="30" customFormat="false" ht="15" hidden="false" customHeight="false" outlineLevel="0" collapsed="false">
      <c r="B30" s="8" t="s">
        <v>47</v>
      </c>
      <c r="C30" s="14" t="n">
        <f aca="false">AVERAGE(Weekly_5Y!$F$3:$F$262)*52</f>
        <v>0.615427316168182</v>
      </c>
      <c r="D30" s="14" t="n">
        <f aca="false">AVERAGE(Weekly_5Y!$G$3:$G$262)*52</f>
        <v>0.143399310053533</v>
      </c>
      <c r="E30" s="14" t="n">
        <f aca="false">AVERAGE(Weekly_5Y!$H$3:$H$262)*52</f>
        <v>0.186207686142001</v>
      </c>
    </row>
    <row r="31" customFormat="false" ht="15" hidden="false" customHeight="false" outlineLevel="0" collapsed="false">
      <c r="B31" s="8" t="s">
        <v>48</v>
      </c>
      <c r="C31" s="14" t="n">
        <f aca="false">_xlfn.STDEV.S(Weekly_5Y!$F$3:$F$262)*SQRT(52)</f>
        <v>0.478872156440706</v>
      </c>
      <c r="D31" s="14" t="n">
        <f aca="false">_xlfn.STDEV.S(Weekly_5Y!$G$3:$G$262)*SQRT(52)</f>
        <v>0.162015262355501</v>
      </c>
      <c r="E31" s="14" t="n">
        <f aca="false">_xlfn.STDEV.S(Weekly_5Y!$H$3:$H$262)*SQRT(52)</f>
        <v>0.211712950366948</v>
      </c>
    </row>
    <row r="32" customFormat="false" ht="15" hidden="false" customHeight="false" outlineLevel="0" collapsed="false">
      <c r="B32" s="8" t="s">
        <v>49</v>
      </c>
      <c r="C32" s="15" t="n">
        <f aca="false">(AVERAGE(Weekly_5Y!$F$3:$F$262)*52-$C$6)/(_xlfn.STDEV.S(Weekly_5Y!$F$3:$F$262)*SQRT(52))</f>
        <v>1.20163034836925</v>
      </c>
      <c r="D32" s="15" t="n">
        <f aca="false">(AVERAGE(Weekly_5Y!$G$3:$G$262)*52-$C$6)/(_xlfn.STDEV.S(Weekly_5Y!$G$3:$G$262)*SQRT(52))</f>
        <v>0.638207219185621</v>
      </c>
      <c r="E32" s="15" t="n">
        <f aca="false">(AVERAGE(Weekly_5Y!$H$3:$H$262)*52-$C$6)/(_xlfn.STDEV.S(Weekly_5Y!$H$3:$H$262)*SQRT(52))</f>
        <v>0.690593966446495</v>
      </c>
    </row>
    <row r="33" customFormat="false" ht="15" hidden="false" customHeight="false" outlineLevel="0" collapsed="false">
      <c r="B33" s="8" t="s">
        <v>50</v>
      </c>
      <c r="C33" s="16" t="n">
        <f aca="false">-_xlfn.PERCENTILE.INC(Weekly_5Y!$F$3:$F$262,1-$C$7)</f>
        <v>0.0875872525391249</v>
      </c>
      <c r="D33" s="16" t="n">
        <f aca="false">-_xlfn.PERCENTILE.INC(Weekly_5Y!$G$3:$G$262,1-$C$7)</f>
        <v>0.0308075262902936</v>
      </c>
      <c r="E33" s="16" t="n">
        <f aca="false">-_xlfn.PERCENTILE.INC(Weekly_5Y!$H$3:$H$262,1-$C$7)</f>
        <v>0.0400327680768375</v>
      </c>
    </row>
    <row r="34" customFormat="false" ht="15" hidden="false" customHeight="false" outlineLevel="0" collapsed="false">
      <c r="B34" s="8" t="s">
        <v>51</v>
      </c>
      <c r="C34" s="20" t="n">
        <f aca="false">SLOPE(Weekly_5Y!$F$3:$F$262,Weekly_5Y!$G$3:$G$262)</f>
        <v>2.05389042978595</v>
      </c>
    </row>
    <row r="35" customFormat="false" ht="15" hidden="false" customHeight="false" outlineLevel="0" collapsed="false">
      <c r="B35" s="8" t="s">
        <v>52</v>
      </c>
      <c r="C35" s="20" t="n">
        <f aca="false">SLOPE(Monthly_5Y!$E$3:$E$61,Monthly_5Y!$F$3:$F$61)</f>
        <v>2.31569379810009</v>
      </c>
      <c r="D35" s="18" t="s">
        <v>53</v>
      </c>
    </row>
    <row r="36" customFormat="false" ht="15" hidden="false" customHeight="false" outlineLevel="0" collapsed="false">
      <c r="B36" s="8" t="s">
        <v>54</v>
      </c>
      <c r="C36" s="19" t="n">
        <f aca="false">Weekly_5Y!B262/Weekly_5Y!B2-1</f>
        <v>11.2190781186053</v>
      </c>
    </row>
    <row r="37" customFormat="false" ht="15" hidden="false" customHeight="false" outlineLevel="0" collapsed="false">
      <c r="B37" s="8" t="s">
        <v>55</v>
      </c>
      <c r="C37" s="19" t="n">
        <f aca="false">MIN(Weekly_5Y!$K$3:$K$262)</f>
        <v>-0.65936033314482</v>
      </c>
      <c r="D37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3"/>
    <col collapsed="false" customWidth="true" hidden="false" outlineLevel="0" max="10" min="7" style="0" width="12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21" t="s">
        <v>57</v>
      </c>
      <c r="B1" s="21" t="s">
        <v>58</v>
      </c>
      <c r="C1" s="21" t="s">
        <v>59</v>
      </c>
      <c r="D1" s="21" t="s">
        <v>60</v>
      </c>
      <c r="E1" s="21" t="s">
        <v>61</v>
      </c>
      <c r="G1" s="21" t="s">
        <v>62</v>
      </c>
      <c r="H1" s="21" t="s">
        <v>63</v>
      </c>
      <c r="I1" s="21" t="s">
        <v>64</v>
      </c>
      <c r="J1" s="21" t="s">
        <v>65</v>
      </c>
      <c r="L1" s="21" t="s">
        <v>66</v>
      </c>
      <c r="M1" s="21" t="s">
        <v>67</v>
      </c>
    </row>
    <row r="2" customFormat="false" ht="15" hidden="false" customHeight="false" outlineLevel="0" collapsed="false">
      <c r="A2" s="22" t="n">
        <v>45377</v>
      </c>
      <c r="B2" s="23" t="n">
        <v>92.401101</v>
      </c>
      <c r="C2" s="23" t="n">
        <v>506.497</v>
      </c>
      <c r="D2" s="23" t="n">
        <v>438.505322</v>
      </c>
      <c r="E2" s="23" t="n">
        <v>177.87</v>
      </c>
      <c r="L2" s="24" t="n">
        <f aca="false">MAX($B$2:B2)</f>
        <v>92.401101</v>
      </c>
      <c r="M2" s="25" t="n">
        <f aca="false">(B2-L2)/L2</f>
        <v>0</v>
      </c>
    </row>
    <row r="3" customFormat="false" ht="15" hidden="false" customHeight="false" outlineLevel="0" collapsed="false">
      <c r="A3" s="22" t="n">
        <v>45378</v>
      </c>
      <c r="B3" s="23" t="n">
        <v>90.094093</v>
      </c>
      <c r="C3" s="23" t="n">
        <v>510.754</v>
      </c>
      <c r="D3" s="23" t="n">
        <v>439.998923</v>
      </c>
      <c r="E3" s="23" t="n">
        <v>179.59</v>
      </c>
      <c r="G3" s="25" t="n">
        <f aca="false">(B3-B2)/B2</f>
        <v>-0.0249673215473915</v>
      </c>
      <c r="H3" s="25" t="n">
        <f aca="false">(C3-C2)/C2</f>
        <v>0.00840478818235844</v>
      </c>
      <c r="I3" s="25" t="n">
        <f aca="false">(D3-D2)/D2</f>
        <v>0.00340611829564069</v>
      </c>
      <c r="J3" s="25" t="n">
        <f aca="false">(E3-E2)/E2</f>
        <v>0.00966998369595772</v>
      </c>
      <c r="L3" s="24" t="n">
        <f aca="false">MAX($B$2:B3)</f>
        <v>92.401101</v>
      </c>
      <c r="M3" s="25" t="n">
        <f aca="false">(B3-L3)/L3</f>
        <v>-0.0249673215473915</v>
      </c>
    </row>
    <row r="4" customFormat="false" ht="15" hidden="false" customHeight="false" outlineLevel="0" collapsed="false">
      <c r="A4" s="22" t="n">
        <v>45379</v>
      </c>
      <c r="B4" s="23" t="n">
        <v>90.19991</v>
      </c>
      <c r="C4" s="23" t="n">
        <v>510.656</v>
      </c>
      <c r="D4" s="23" t="n">
        <v>439.187829</v>
      </c>
      <c r="E4" s="23" t="n">
        <v>180.49</v>
      </c>
      <c r="G4" s="25" t="n">
        <f aca="false">(B4-B3)/B3</f>
        <v>0.00117451651352994</v>
      </c>
      <c r="H4" s="25" t="n">
        <f aca="false">(C4-C3)/C3</f>
        <v>-0.000191873191399408</v>
      </c>
      <c r="I4" s="25" t="n">
        <f aca="false">(D4-D3)/D3</f>
        <v>-0.00184339996668576</v>
      </c>
      <c r="J4" s="25" t="n">
        <f aca="false">(E4-E3)/E3</f>
        <v>0.00501141488947049</v>
      </c>
      <c r="L4" s="24" t="n">
        <f aca="false">MAX($B$2:B4)</f>
        <v>92.401101</v>
      </c>
      <c r="M4" s="25" t="n">
        <f aca="false">(B4-L4)/L4</f>
        <v>-0.0238221295653176</v>
      </c>
    </row>
    <row r="5" customFormat="false" ht="15" hidden="false" customHeight="false" outlineLevel="0" collapsed="false">
      <c r="A5" s="22" t="n">
        <v>45383</v>
      </c>
      <c r="B5" s="23" t="n">
        <v>90.206898</v>
      </c>
      <c r="C5" s="23" t="n">
        <v>509.768</v>
      </c>
      <c r="D5" s="23" t="n">
        <v>440.11762</v>
      </c>
      <c r="E5" s="23" t="n">
        <v>183.34</v>
      </c>
      <c r="G5" s="25" t="n">
        <f aca="false">(B5-B4)/B4</f>
        <v>7.7472361114248E-005</v>
      </c>
      <c r="H5" s="25" t="n">
        <f aca="false">(C5-C4)/C4</f>
        <v>-0.00173893971675655</v>
      </c>
      <c r="I5" s="25" t="n">
        <f aca="false">(D5-D4)/D4</f>
        <v>0.00211706914127615</v>
      </c>
      <c r="J5" s="25" t="n">
        <f aca="false">(E5-E4)/E4</f>
        <v>0.0157903484957615</v>
      </c>
      <c r="L5" s="24" t="n">
        <f aca="false">MAX($B$2:B5)</f>
        <v>92.401101</v>
      </c>
      <c r="M5" s="25" t="n">
        <f aca="false">(B5-L5)/L5</f>
        <v>-0.0237465027608275</v>
      </c>
    </row>
    <row r="6" customFormat="false" ht="15" hidden="false" customHeight="false" outlineLevel="0" collapsed="false">
      <c r="A6" s="22" t="n">
        <v>45384</v>
      </c>
      <c r="B6" s="23" t="n">
        <v>89.297472</v>
      </c>
      <c r="C6" s="23" t="n">
        <v>506.526</v>
      </c>
      <c r="D6" s="23" t="n">
        <v>436.319324</v>
      </c>
      <c r="E6" s="23" t="n">
        <v>178.7</v>
      </c>
      <c r="G6" s="25" t="n">
        <f aca="false">(B6-B5)/B5</f>
        <v>-0.0100815571775896</v>
      </c>
      <c r="H6" s="25" t="n">
        <f aca="false">(C6-C5)/C5</f>
        <v>-0.00635975581048626</v>
      </c>
      <c r="I6" s="25" t="n">
        <f aca="false">(D6-D5)/D5</f>
        <v>-0.00863018390402092</v>
      </c>
      <c r="J6" s="25" t="n">
        <f aca="false">(E6-E5)/E5</f>
        <v>-0.0253081706119778</v>
      </c>
      <c r="L6" s="24" t="n">
        <f aca="false">MAX($B$2:B6)</f>
        <v>92.401101</v>
      </c>
      <c r="M6" s="25" t="n">
        <f aca="false">(B6-L6)/L6</f>
        <v>-0.0335886582130661</v>
      </c>
    </row>
    <row r="7" customFormat="false" ht="15" hidden="false" customHeight="false" outlineLevel="0" collapsed="false">
      <c r="A7" s="22" t="n">
        <v>45385</v>
      </c>
      <c r="B7" s="23" t="n">
        <v>88.810315</v>
      </c>
      <c r="C7" s="23" t="n">
        <v>507.083</v>
      </c>
      <c r="D7" s="23" t="n">
        <v>437.298572</v>
      </c>
      <c r="E7" s="23" t="n">
        <v>180.77</v>
      </c>
      <c r="G7" s="25" t="n">
        <f aca="false">(B7-B6)/B6</f>
        <v>-0.0054554399927469</v>
      </c>
      <c r="H7" s="25" t="n">
        <f aca="false">(C7-C6)/C6</f>
        <v>0.00109964740210772</v>
      </c>
      <c r="I7" s="25" t="n">
        <f aca="false">(D7-D6)/D6</f>
        <v>0.00224433791064451</v>
      </c>
      <c r="J7" s="25" t="n">
        <f aca="false">(E7-E6)/E6</f>
        <v>0.0115836597649693</v>
      </c>
      <c r="L7" s="24" t="n">
        <f aca="false">MAX($B$2:B7)</f>
        <v>92.401101</v>
      </c>
      <c r="M7" s="25" t="n">
        <f aca="false">(B7-L7)/L7</f>
        <v>-0.0388608572964947</v>
      </c>
    </row>
    <row r="8" customFormat="false" ht="15" hidden="false" customHeight="false" outlineLevel="0" collapsed="false">
      <c r="A8" s="22" t="n">
        <v>45386</v>
      </c>
      <c r="B8" s="23" t="n">
        <v>85.756599</v>
      </c>
      <c r="C8" s="23" t="n">
        <v>500.893</v>
      </c>
      <c r="D8" s="23" t="n">
        <v>430.611989</v>
      </c>
      <c r="E8" s="23" t="n">
        <v>165.83</v>
      </c>
      <c r="G8" s="25" t="n">
        <f aca="false">(B8-B7)/B7</f>
        <v>-0.0343846995700894</v>
      </c>
      <c r="H8" s="25" t="n">
        <f aca="false">(C8-C7)/C7</f>
        <v>-0.0122070745814789</v>
      </c>
      <c r="I8" s="25" t="n">
        <f aca="false">(D8-D7)/D7</f>
        <v>-0.0152906582096042</v>
      </c>
      <c r="J8" s="25" t="n">
        <f aca="false">(E8-E7)/E7</f>
        <v>-0.082646456823588</v>
      </c>
      <c r="L8" s="24" t="n">
        <f aca="false">MAX($B$2:B8)</f>
        <v>92.401101</v>
      </c>
      <c r="M8" s="25" t="n">
        <f aca="false">(B8-L8)/L8</f>
        <v>-0.0719093379634081</v>
      </c>
    </row>
    <row r="9" customFormat="false" ht="15" hidden="false" customHeight="false" outlineLevel="0" collapsed="false">
      <c r="A9" s="22" t="n">
        <v>45387</v>
      </c>
      <c r="B9" s="23" t="n">
        <v>87.855966</v>
      </c>
      <c r="C9" s="23" t="n">
        <v>506.126</v>
      </c>
      <c r="D9" s="23" t="n">
        <v>435.686275</v>
      </c>
      <c r="E9" s="23" t="n">
        <v>170.42</v>
      </c>
      <c r="G9" s="25" t="n">
        <f aca="false">(B9-B8)/B8</f>
        <v>0.0244805300639313</v>
      </c>
      <c r="H9" s="25" t="n">
        <f aca="false">(C9-C8)/C8</f>
        <v>0.0104473410488867</v>
      </c>
      <c r="I9" s="25" t="n">
        <f aca="false">(D9-D8)/D8</f>
        <v>0.0117838939221918</v>
      </c>
      <c r="J9" s="25" t="n">
        <f aca="false">(E9-E8)/E8</f>
        <v>0.0276789483205691</v>
      </c>
      <c r="L9" s="24" t="n">
        <f aca="false">MAX($B$2:B9)</f>
        <v>92.401101</v>
      </c>
      <c r="M9" s="25" t="n">
        <f aca="false">(B9-L9)/L9</f>
        <v>-0.0491891866093674</v>
      </c>
    </row>
    <row r="10" customFormat="false" ht="15" hidden="false" customHeight="false" outlineLevel="0" collapsed="false">
      <c r="A10" s="22" t="n">
        <v>45390</v>
      </c>
      <c r="B10" s="23" t="n">
        <v>86.982478</v>
      </c>
      <c r="C10" s="23" t="n">
        <v>506.409</v>
      </c>
      <c r="D10" s="23" t="n">
        <v>435.814863</v>
      </c>
      <c r="E10" s="23" t="n">
        <v>169.9</v>
      </c>
      <c r="G10" s="25" t="n">
        <f aca="false">(B10-B9)/B9</f>
        <v>-0.00994227301535783</v>
      </c>
      <c r="H10" s="25" t="n">
        <f aca="false">(C10-C9)/C9</f>
        <v>0.000559149302742826</v>
      </c>
      <c r="I10" s="25" t="n">
        <f aca="false">(D10-D9)/D9</f>
        <v>0.000295138973565278</v>
      </c>
      <c r="J10" s="25" t="n">
        <f aca="false">(E10-E9)/E9</f>
        <v>-0.00305128506043881</v>
      </c>
      <c r="L10" s="24" t="n">
        <f aca="false">MAX($B$2:B10)</f>
        <v>92.401101</v>
      </c>
      <c r="M10" s="25" t="n">
        <f aca="false">(B10-L10)/L10</f>
        <v>-0.0586424073020515</v>
      </c>
    </row>
    <row r="11" customFormat="false" ht="15" hidden="false" customHeight="false" outlineLevel="0" collapsed="false">
      <c r="A11" s="22" t="n">
        <v>45391</v>
      </c>
      <c r="B11" s="23" t="n">
        <v>85.206551</v>
      </c>
      <c r="C11" s="23" t="n">
        <v>506.995</v>
      </c>
      <c r="D11" s="23" t="n">
        <v>437.42716</v>
      </c>
      <c r="E11" s="23" t="n">
        <v>170.78</v>
      </c>
      <c r="G11" s="25" t="n">
        <f aca="false">(B11-B10)/B10</f>
        <v>-0.0204170660670301</v>
      </c>
      <c r="H11" s="25" t="n">
        <f aca="false">(C11-C10)/C10</f>
        <v>0.00115716742790909</v>
      </c>
      <c r="I11" s="25" t="n">
        <f aca="false">(D11-D10)/D10</f>
        <v>0.00369949980342917</v>
      </c>
      <c r="J11" s="25" t="n">
        <f aca="false">(E11-E10)/E10</f>
        <v>0.00517951736315477</v>
      </c>
      <c r="L11" s="24" t="n">
        <f aca="false">MAX($B$2:B11)</f>
        <v>92.401101</v>
      </c>
      <c r="M11" s="25" t="n">
        <f aca="false">(B11-L11)/L11</f>
        <v>-0.077862167464866</v>
      </c>
    </row>
    <row r="12" customFormat="false" ht="15" hidden="false" customHeight="false" outlineLevel="0" collapsed="false">
      <c r="A12" s="22" t="n">
        <v>45392</v>
      </c>
      <c r="B12" s="23" t="n">
        <v>86.88864</v>
      </c>
      <c r="C12" s="23" t="n">
        <v>501.918</v>
      </c>
      <c r="D12" s="23" t="n">
        <v>433.609082</v>
      </c>
      <c r="E12" s="23" t="n">
        <v>167.14</v>
      </c>
      <c r="G12" s="25" t="n">
        <f aca="false">(B12-B11)/B11</f>
        <v>0.0197413107356028</v>
      </c>
      <c r="H12" s="25" t="n">
        <f aca="false">(C12-C11)/C11</f>
        <v>-0.0100139054625785</v>
      </c>
      <c r="I12" s="25" t="n">
        <f aca="false">(D12-D11)/D11</f>
        <v>-0.00872848864711559</v>
      </c>
      <c r="J12" s="25" t="n">
        <f aca="false">(E12-E11)/E11</f>
        <v>-0.0213139711910061</v>
      </c>
      <c r="L12" s="24" t="n">
        <f aca="false">MAX($B$2:B12)</f>
        <v>92.401101</v>
      </c>
      <c r="M12" s="25" t="n">
        <f aca="false">(B12-L12)/L12</f>
        <v>-0.0596579579717346</v>
      </c>
    </row>
    <row r="13" customFormat="false" ht="15" hidden="false" customHeight="false" outlineLevel="0" collapsed="false">
      <c r="A13" s="22" t="n">
        <v>45393</v>
      </c>
      <c r="B13" s="23" t="n">
        <v>90.459461</v>
      </c>
      <c r="C13" s="23" t="n">
        <v>505.706</v>
      </c>
      <c r="D13" s="23" t="n">
        <v>440.533058</v>
      </c>
      <c r="E13" s="23" t="n">
        <v>170.5</v>
      </c>
      <c r="G13" s="25" t="n">
        <f aca="false">(B13-B12)/B12</f>
        <v>0.0410965230897849</v>
      </c>
      <c r="H13" s="25" t="n">
        <f aca="false">(C13-C12)/C12</f>
        <v>0.00754704951804879</v>
      </c>
      <c r="I13" s="25" t="n">
        <f aca="false">(D13-D12)/D12</f>
        <v>0.0159682448717714</v>
      </c>
      <c r="J13" s="25" t="n">
        <f aca="false">(E13-E12)/E12</f>
        <v>0.0201029077420128</v>
      </c>
      <c r="L13" s="24" t="n">
        <f aca="false">MAX($B$2:B13)</f>
        <v>92.401101</v>
      </c>
      <c r="M13" s="25" t="n">
        <f aca="false">(B13-L13)/L13</f>
        <v>-0.0210131695292245</v>
      </c>
    </row>
    <row r="14" customFormat="false" ht="15" hidden="false" customHeight="false" outlineLevel="0" collapsed="false">
      <c r="A14" s="22" t="n">
        <v>45394</v>
      </c>
      <c r="B14" s="23" t="n">
        <v>88.033659</v>
      </c>
      <c r="C14" s="23" t="n">
        <v>498.726</v>
      </c>
      <c r="D14" s="23" t="n">
        <v>433.510168</v>
      </c>
      <c r="E14" s="23" t="n">
        <v>163.28</v>
      </c>
      <c r="G14" s="25" t="n">
        <f aca="false">(B14-B13)/B13</f>
        <v>-0.0268164542788952</v>
      </c>
      <c r="H14" s="25" t="n">
        <f aca="false">(C14-C13)/C13</f>
        <v>-0.0138024860294322</v>
      </c>
      <c r="I14" s="25" t="n">
        <f aca="false">(D14-D13)/D13</f>
        <v>-0.0159418002178623</v>
      </c>
      <c r="J14" s="25" t="n">
        <f aca="false">(E14-E13)/E13</f>
        <v>-0.0423460410557185</v>
      </c>
      <c r="L14" s="24" t="n">
        <f aca="false">MAX($B$2:B14)</f>
        <v>92.401101</v>
      </c>
      <c r="M14" s="25" t="n">
        <f aca="false">(B14-L14)/L14</f>
        <v>-0.0472661251081846</v>
      </c>
    </row>
    <row r="15" customFormat="false" ht="15" hidden="false" customHeight="false" outlineLevel="0" collapsed="false">
      <c r="A15" s="22" t="n">
        <v>45397</v>
      </c>
      <c r="B15" s="23" t="n">
        <v>85.852433</v>
      </c>
      <c r="C15" s="23" t="n">
        <v>492.478</v>
      </c>
      <c r="D15" s="23" t="n">
        <v>426.378472</v>
      </c>
      <c r="E15" s="23" t="n">
        <v>160.32</v>
      </c>
      <c r="G15" s="25" t="n">
        <f aca="false">(B15-B14)/B14</f>
        <v>-0.0247771821003146</v>
      </c>
      <c r="H15" s="25" t="n">
        <f aca="false">(C15-C14)/C14</f>
        <v>-0.0125279211430725</v>
      </c>
      <c r="I15" s="25" t="n">
        <f aca="false">(D15-D14)/D14</f>
        <v>-0.0164510466568803</v>
      </c>
      <c r="J15" s="25" t="n">
        <f aca="false">(E15-E14)/E14</f>
        <v>-0.0181283684468398</v>
      </c>
      <c r="L15" s="24" t="n">
        <f aca="false">MAX($B$2:B15)</f>
        <v>92.401101</v>
      </c>
      <c r="M15" s="25" t="n">
        <f aca="false">(B15-L15)/L15</f>
        <v>-0.0708721858195174</v>
      </c>
    </row>
    <row r="16" customFormat="false" ht="15" hidden="false" customHeight="false" outlineLevel="0" collapsed="false">
      <c r="A16" s="22" t="n">
        <v>45398</v>
      </c>
      <c r="B16" s="23" t="n">
        <v>87.263991</v>
      </c>
      <c r="C16" s="23" t="n">
        <v>491.58</v>
      </c>
      <c r="D16" s="23" t="n">
        <v>426.418038</v>
      </c>
      <c r="E16" s="23" t="n">
        <v>163.46</v>
      </c>
      <c r="G16" s="25" t="n">
        <f aca="false">(B16-B15)/B15</f>
        <v>0.0164416773139091</v>
      </c>
      <c r="H16" s="25" t="n">
        <f aca="false">(C16-C15)/C15</f>
        <v>-0.00182343170659405</v>
      </c>
      <c r="I16" s="25" t="n">
        <f aca="false">(D16-D15)/D15</f>
        <v>9.27954917949896E-005</v>
      </c>
      <c r="J16" s="25" t="n">
        <f aca="false">(E16-E15)/E15</f>
        <v>0.0195858283433135</v>
      </c>
      <c r="L16" s="24" t="n">
        <f aca="false">MAX($B$2:B16)</f>
        <v>92.401101</v>
      </c>
      <c r="M16" s="25" t="n">
        <f aca="false">(B16-L16)/L16</f>
        <v>-0.0555957661153842</v>
      </c>
    </row>
    <row r="17" customFormat="false" ht="15" hidden="false" customHeight="false" outlineLevel="0" collapsed="false">
      <c r="A17" s="22" t="n">
        <v>45399</v>
      </c>
      <c r="B17" s="23" t="n">
        <v>83.88983</v>
      </c>
      <c r="C17" s="23" t="n">
        <v>488.67</v>
      </c>
      <c r="D17" s="23" t="n">
        <v>421.215164</v>
      </c>
      <c r="E17" s="23" t="n">
        <v>154.02</v>
      </c>
      <c r="G17" s="25" t="n">
        <f aca="false">(B17-B16)/B16</f>
        <v>-0.0386661320589841</v>
      </c>
      <c r="H17" s="25" t="n">
        <f aca="false">(C17-C16)/C16</f>
        <v>-0.00591968753814225</v>
      </c>
      <c r="I17" s="25" t="n">
        <f aca="false">(D17-D16)/D16</f>
        <v>-0.0122013459477528</v>
      </c>
      <c r="J17" s="25" t="n">
        <f aca="false">(E17-E16)/E16</f>
        <v>-0.0577511317753579</v>
      </c>
      <c r="L17" s="24" t="n">
        <f aca="false">MAX($B$2:B17)</f>
        <v>92.401101</v>
      </c>
      <c r="M17" s="25" t="n">
        <f aca="false">(B17-L17)/L17</f>
        <v>-0.0921122249398305</v>
      </c>
    </row>
    <row r="18" customFormat="false" ht="15" hidden="false" customHeight="false" outlineLevel="0" collapsed="false">
      <c r="A18" s="22" t="n">
        <v>45400</v>
      </c>
      <c r="B18" s="23" t="n">
        <v>84.524731</v>
      </c>
      <c r="C18" s="23" t="n">
        <v>487.665</v>
      </c>
      <c r="D18" s="23" t="n">
        <v>418.811555</v>
      </c>
      <c r="E18" s="23" t="n">
        <v>155.08</v>
      </c>
      <c r="G18" s="25" t="n">
        <f aca="false">(B18-B17)/B17</f>
        <v>0.00756827138641238</v>
      </c>
      <c r="H18" s="25" t="n">
        <f aca="false">(C18-C17)/C17</f>
        <v>-0.00205660261526182</v>
      </c>
      <c r="I18" s="25" t="n">
        <f aca="false">(D18-D17)/D17</f>
        <v>-0.00570636863396499</v>
      </c>
      <c r="J18" s="25" t="n">
        <f aca="false">(E18-E17)/E17</f>
        <v>0.00688222308791068</v>
      </c>
      <c r="L18" s="24" t="n">
        <f aca="false">MAX($B$2:B18)</f>
        <v>92.401101</v>
      </c>
      <c r="M18" s="25" t="n">
        <f aca="false">(B18-L18)/L18</f>
        <v>-0.085241083869769</v>
      </c>
    </row>
    <row r="19" customFormat="false" ht="15" hidden="false" customHeight="false" outlineLevel="0" collapsed="false">
      <c r="A19" s="22" t="n">
        <v>45401</v>
      </c>
      <c r="B19" s="23" t="n">
        <v>76.068365</v>
      </c>
      <c r="C19" s="23" t="n">
        <v>483.408</v>
      </c>
      <c r="D19" s="23" t="n">
        <v>410.146693</v>
      </c>
      <c r="E19" s="23" t="n">
        <v>146.64</v>
      </c>
      <c r="G19" s="25" t="n">
        <f aca="false">(B19-B18)/B18</f>
        <v>-0.100046056342966</v>
      </c>
      <c r="H19" s="25" t="n">
        <f aca="false">(C19-C18)/C18</f>
        <v>-0.00872935314201348</v>
      </c>
      <c r="I19" s="25" t="n">
        <f aca="false">(D19-D18)/D18</f>
        <v>-0.0206891665154749</v>
      </c>
      <c r="J19" s="25" t="n">
        <f aca="false">(E19-E18)/E18</f>
        <v>-0.054423523342791</v>
      </c>
      <c r="L19" s="24" t="n">
        <f aca="false">MAX($B$2:B19)</f>
        <v>92.401101</v>
      </c>
      <c r="M19" s="25" t="n">
        <f aca="false">(B19-L19)/L19</f>
        <v>-0.176759105933164</v>
      </c>
    </row>
    <row r="20" customFormat="false" ht="15" hidden="false" customHeight="false" outlineLevel="0" collapsed="false">
      <c r="A20" s="22" t="n">
        <v>45404</v>
      </c>
      <c r="B20" s="23" t="n">
        <v>79.380633</v>
      </c>
      <c r="C20" s="23" t="n">
        <v>487.86</v>
      </c>
      <c r="D20" s="23" t="n">
        <v>414.271405</v>
      </c>
      <c r="E20" s="23" t="n">
        <v>148.64</v>
      </c>
      <c r="G20" s="25" t="n">
        <f aca="false">(B20-B19)/B19</f>
        <v>0.0435433047627618</v>
      </c>
      <c r="H20" s="25" t="n">
        <f aca="false">(C20-C19)/C19</f>
        <v>0.00920961175652864</v>
      </c>
      <c r="I20" s="25" t="n">
        <f aca="false">(D20-D19)/D19</f>
        <v>0.0100566750150537</v>
      </c>
      <c r="J20" s="25" t="n">
        <f aca="false">(E20-E19)/E19</f>
        <v>0.0136388434260775</v>
      </c>
      <c r="L20" s="24" t="n">
        <f aca="false">MAX($B$2:B20)</f>
        <v>92.401101</v>
      </c>
      <c r="M20" s="25" t="n">
        <f aca="false">(B20-L20)/L20</f>
        <v>-0.140912476789643</v>
      </c>
    </row>
    <row r="21" customFormat="false" ht="15" hidden="false" customHeight="false" outlineLevel="0" collapsed="false">
      <c r="A21" s="22" t="n">
        <v>45405</v>
      </c>
      <c r="B21" s="23" t="n">
        <v>82.280614</v>
      </c>
      <c r="C21" s="23" t="n">
        <v>493.649</v>
      </c>
      <c r="D21" s="23" t="n">
        <v>420.453527</v>
      </c>
      <c r="E21" s="23" t="n">
        <v>152.27</v>
      </c>
      <c r="G21" s="25" t="n">
        <f aca="false">(B21-B20)/B20</f>
        <v>0.0365326010942744</v>
      </c>
      <c r="H21" s="25" t="n">
        <f aca="false">(C21-C20)/C20</f>
        <v>0.0118661091296683</v>
      </c>
      <c r="I21" s="25" t="n">
        <f aca="false">(D21-D20)/D20</f>
        <v>0.0149228788793665</v>
      </c>
      <c r="J21" s="25" t="n">
        <f aca="false">(E21-E20)/E20</f>
        <v>0.0244214208826697</v>
      </c>
      <c r="L21" s="24" t="n">
        <f aca="false">MAX($B$2:B21)</f>
        <v>92.401101</v>
      </c>
      <c r="M21" s="25" t="n">
        <f aca="false">(B21-L21)/L21</f>
        <v>-0.109527774999131</v>
      </c>
    </row>
    <row r="22" customFormat="false" ht="15" hidden="false" customHeight="false" outlineLevel="0" collapsed="false">
      <c r="A22" s="22" t="n">
        <v>45406</v>
      </c>
      <c r="B22" s="23" t="n">
        <v>79.539358</v>
      </c>
      <c r="C22" s="23" t="n">
        <v>493.415</v>
      </c>
      <c r="D22" s="23" t="n">
        <v>421.877887</v>
      </c>
      <c r="E22" s="23" t="n">
        <v>151.74</v>
      </c>
      <c r="G22" s="25" t="n">
        <f aca="false">(B22-B21)/B21</f>
        <v>-0.033315940009879</v>
      </c>
      <c r="H22" s="25" t="n">
        <f aca="false">(C22-C21)/C21</f>
        <v>-0.000474021014931622</v>
      </c>
      <c r="I22" s="25" t="n">
        <f aca="false">(D22-D21)/D21</f>
        <v>0.00338767523289198</v>
      </c>
      <c r="J22" s="25" t="n">
        <f aca="false">(E22-E21)/E21</f>
        <v>-0.00348065935509293</v>
      </c>
      <c r="L22" s="24" t="n">
        <f aca="false">MAX($B$2:B22)</f>
        <v>92.401101</v>
      </c>
      <c r="M22" s="25" t="n">
        <f aca="false">(B22-L22)/L22</f>
        <v>-0.139194694227724</v>
      </c>
    </row>
    <row r="23" customFormat="false" ht="15" hidden="false" customHeight="false" outlineLevel="0" collapsed="false">
      <c r="A23" s="22" t="n">
        <v>45407</v>
      </c>
      <c r="B23" s="23" t="n">
        <v>82.489253</v>
      </c>
      <c r="C23" s="23" t="n">
        <v>491.541</v>
      </c>
      <c r="D23" s="23" t="n">
        <v>419.84026</v>
      </c>
      <c r="E23" s="23" t="n">
        <v>153.76</v>
      </c>
      <c r="G23" s="25" t="n">
        <f aca="false">(B23-B22)/B22</f>
        <v>0.0370872367363087</v>
      </c>
      <c r="H23" s="25" t="n">
        <f aca="false">(C23-C22)/C22</f>
        <v>-0.00379801992237776</v>
      </c>
      <c r="I23" s="25" t="n">
        <f aca="false">(D23-D22)/D22</f>
        <v>-0.00482989761442506</v>
      </c>
      <c r="J23" s="25" t="n">
        <f aca="false">(E23-E22)/E22</f>
        <v>0.0133122446289705</v>
      </c>
      <c r="L23" s="24" t="n">
        <f aca="false">MAX($B$2:B23)</f>
        <v>92.401101</v>
      </c>
      <c r="M23" s="25" t="n">
        <f aca="false">(B23-L23)/L23</f>
        <v>-0.107269804068677</v>
      </c>
    </row>
    <row r="24" customFormat="false" ht="15" hidden="false" customHeight="false" outlineLevel="0" collapsed="false">
      <c r="A24" s="22" t="n">
        <v>45408</v>
      </c>
      <c r="B24" s="23" t="n">
        <v>87.583438</v>
      </c>
      <c r="C24" s="23" t="n">
        <v>496.197</v>
      </c>
      <c r="D24" s="23" t="n">
        <v>426.319124</v>
      </c>
      <c r="E24" s="23" t="n">
        <v>157.4</v>
      </c>
      <c r="G24" s="25" t="n">
        <f aca="false">(B24-B23)/B23</f>
        <v>0.0617557416843137</v>
      </c>
      <c r="H24" s="25" t="n">
        <f aca="false">(C24-C23)/C23</f>
        <v>0.00947225155175256</v>
      </c>
      <c r="I24" s="25" t="n">
        <f aca="false">(D24-D23)/D23</f>
        <v>0.0154317358702093</v>
      </c>
      <c r="J24" s="25" t="n">
        <f aca="false">(E24-E23)/E23</f>
        <v>0.0236732570239335</v>
      </c>
      <c r="L24" s="24" t="n">
        <f aca="false">MAX($B$2:B24)</f>
        <v>92.401101</v>
      </c>
      <c r="M24" s="25" t="n">
        <f aca="false">(B24-L24)/L24</f>
        <v>-0.052138588694955</v>
      </c>
    </row>
    <row r="25" customFormat="false" ht="15" hidden="false" customHeight="false" outlineLevel="0" collapsed="false">
      <c r="A25" s="22" t="n">
        <v>45411</v>
      </c>
      <c r="B25" s="23" t="n">
        <v>87.6054</v>
      </c>
      <c r="C25" s="23" t="n">
        <v>497.955</v>
      </c>
      <c r="D25" s="23" t="n">
        <v>428.050118</v>
      </c>
      <c r="E25" s="23" t="n">
        <v>160.2</v>
      </c>
      <c r="G25" s="25" t="n">
        <f aca="false">(B25-B24)/B24</f>
        <v>0.00025075517131449</v>
      </c>
      <c r="H25" s="25" t="n">
        <f aca="false">(C25-C24)/C24</f>
        <v>0.00354294765990117</v>
      </c>
      <c r="I25" s="25" t="n">
        <f aca="false">(D25-D24)/D24</f>
        <v>0.00406032453754059</v>
      </c>
      <c r="J25" s="25" t="n">
        <f aca="false">(E25-E24)/E24</f>
        <v>0.0177890724269376</v>
      </c>
      <c r="L25" s="24" t="n">
        <f aca="false">MAX($B$2:B25)</f>
        <v>92.401101</v>
      </c>
      <c r="M25" s="25" t="n">
        <f aca="false">(B25-L25)/L25</f>
        <v>-0.0519009075443808</v>
      </c>
    </row>
    <row r="26" customFormat="false" ht="15" hidden="false" customHeight="false" outlineLevel="0" collapsed="false">
      <c r="A26" s="22" t="n">
        <v>45412</v>
      </c>
      <c r="B26" s="23" t="n">
        <v>86.252741</v>
      </c>
      <c r="C26" s="23" t="n">
        <v>490.066</v>
      </c>
      <c r="D26" s="23" t="n">
        <v>419.97874</v>
      </c>
      <c r="E26" s="23" t="n">
        <v>158.38</v>
      </c>
      <c r="G26" s="25" t="n">
        <f aca="false">(B26-B25)/B25</f>
        <v>-0.0154403609823139</v>
      </c>
      <c r="H26" s="25" t="n">
        <f aca="false">(C26-C25)/C25</f>
        <v>-0.0158427970398932</v>
      </c>
      <c r="I26" s="25" t="n">
        <f aca="false">(D26-D25)/D25</f>
        <v>-0.0188561517929543</v>
      </c>
      <c r="J26" s="25" t="n">
        <f aca="false">(E26-E25)/E25</f>
        <v>-0.0113607990012484</v>
      </c>
      <c r="L26" s="24" t="n">
        <f aca="false">MAX($B$2:B26)</f>
        <v>92.401101</v>
      </c>
      <c r="M26" s="25" t="n">
        <f aca="false">(B26-L26)/L26</f>
        <v>-0.0665398997788998</v>
      </c>
    </row>
    <row r="27" customFormat="false" ht="15" hidden="false" customHeight="false" outlineLevel="0" collapsed="false">
      <c r="A27" s="22" t="n">
        <v>45413</v>
      </c>
      <c r="B27" s="23" t="n">
        <v>82.897547</v>
      </c>
      <c r="C27" s="23" t="n">
        <v>488.475</v>
      </c>
      <c r="D27" s="23" t="n">
        <v>416.942081</v>
      </c>
      <c r="E27" s="23" t="n">
        <v>144.27</v>
      </c>
      <c r="G27" s="25" t="n">
        <f aca="false">(B27-B26)/B26</f>
        <v>-0.0388995637831382</v>
      </c>
      <c r="H27" s="25" t="n">
        <f aca="false">(C27-C26)/C26</f>
        <v>-0.00324650149163572</v>
      </c>
      <c r="I27" s="25" t="n">
        <f aca="false">(D27-D26)/D26</f>
        <v>-0.00723050647754227</v>
      </c>
      <c r="J27" s="25" t="n">
        <f aca="false">(E27-E26)/E26</f>
        <v>-0.0890895315065033</v>
      </c>
      <c r="L27" s="24" t="n">
        <f aca="false">MAX($B$2:B27)</f>
        <v>92.401101</v>
      </c>
      <c r="M27" s="25" t="n">
        <f aca="false">(B27-L27)/L27</f>
        <v>-0.102851090486465</v>
      </c>
    </row>
    <row r="28" customFormat="false" ht="15" hidden="false" customHeight="false" outlineLevel="0" collapsed="false">
      <c r="A28" s="22" t="n">
        <v>45414</v>
      </c>
      <c r="B28" s="23" t="n">
        <v>85.668751</v>
      </c>
      <c r="C28" s="23" t="n">
        <v>493.044</v>
      </c>
      <c r="D28" s="23" t="n">
        <v>422.263652</v>
      </c>
      <c r="E28" s="23" t="n">
        <v>146.16</v>
      </c>
      <c r="G28" s="25" t="n">
        <f aca="false">(B28-B27)/B27</f>
        <v>0.0334292641976487</v>
      </c>
      <c r="H28" s="25" t="n">
        <f aca="false">(C28-C27)/C27</f>
        <v>0.00935360049132496</v>
      </c>
      <c r="I28" s="25" t="n">
        <f aca="false">(D28-D27)/D27</f>
        <v>0.0127633339077617</v>
      </c>
      <c r="J28" s="25" t="n">
        <f aca="false">(E28-E27)/E27</f>
        <v>0.0131004366812226</v>
      </c>
      <c r="L28" s="24" t="n">
        <f aca="false">MAX($B$2:B28)</f>
        <v>92.401101</v>
      </c>
      <c r="M28" s="25" t="n">
        <f aca="false">(B28-L28)/L28</f>
        <v>-0.0728600625657047</v>
      </c>
    </row>
    <row r="29" customFormat="false" ht="15" hidden="false" customHeight="false" outlineLevel="0" collapsed="false">
      <c r="A29" s="22" t="n">
        <v>45415</v>
      </c>
      <c r="B29" s="23" t="n">
        <v>88.635617</v>
      </c>
      <c r="C29" s="23" t="n">
        <v>499.155</v>
      </c>
      <c r="D29" s="23" t="n">
        <v>430.750469</v>
      </c>
      <c r="E29" s="23" t="n">
        <v>150.6</v>
      </c>
      <c r="G29" s="25" t="n">
        <f aca="false">(B29-B28)/B28</f>
        <v>0.0346318344246667</v>
      </c>
      <c r="H29" s="25" t="n">
        <f aca="false">(C29-C28)/C28</f>
        <v>0.0123944313286441</v>
      </c>
      <c r="I29" s="25" t="n">
        <f aca="false">(D29-D28)/D28</f>
        <v>0.0200983839357313</v>
      </c>
      <c r="J29" s="25" t="n">
        <f aca="false">(E29-E28)/E28</f>
        <v>0.0303776683087028</v>
      </c>
      <c r="L29" s="24" t="n">
        <f aca="false">MAX($B$2:B29)</f>
        <v>92.401101</v>
      </c>
      <c r="M29" s="25" t="n">
        <f aca="false">(B29-L29)/L29</f>
        <v>-0.0407515057639844</v>
      </c>
    </row>
    <row r="30" customFormat="false" ht="15" hidden="false" customHeight="false" outlineLevel="0" collapsed="false">
      <c r="A30" s="22" t="n">
        <v>45418</v>
      </c>
      <c r="B30" s="23" t="n">
        <v>91.980828</v>
      </c>
      <c r="C30" s="23" t="n">
        <v>504.31</v>
      </c>
      <c r="D30" s="23" t="n">
        <v>435.468664</v>
      </c>
      <c r="E30" s="23" t="n">
        <v>155.78</v>
      </c>
      <c r="G30" s="25" t="n">
        <f aca="false">(B30-B29)/B29</f>
        <v>0.0377411599673301</v>
      </c>
      <c r="H30" s="25" t="n">
        <f aca="false">(C30-C29)/C29</f>
        <v>0.0103274533962397</v>
      </c>
      <c r="I30" s="25" t="n">
        <f aca="false">(D30-D29)/D29</f>
        <v>0.0109534297454241</v>
      </c>
      <c r="J30" s="25" t="n">
        <f aca="false">(E30-E29)/E29</f>
        <v>0.0343957503320054</v>
      </c>
      <c r="L30" s="24" t="n">
        <f aca="false">MAX($B$2:B30)</f>
        <v>92.401101</v>
      </c>
      <c r="M30" s="25" t="n">
        <f aca="false">(B30-L30)/L30</f>
        <v>-0.00454835489460233</v>
      </c>
    </row>
    <row r="31" customFormat="false" ht="15" hidden="false" customHeight="false" outlineLevel="0" collapsed="false">
      <c r="A31" s="22" t="n">
        <v>45419</v>
      </c>
      <c r="B31" s="23" t="n">
        <v>90.397568</v>
      </c>
      <c r="C31" s="23" t="n">
        <v>504.867</v>
      </c>
      <c r="D31" s="23" t="n">
        <v>435.537904</v>
      </c>
      <c r="E31" s="23" t="n">
        <v>154.43</v>
      </c>
      <c r="G31" s="25" t="n">
        <f aca="false">(B31-B30)/B30</f>
        <v>-0.0172129348520324</v>
      </c>
      <c r="H31" s="25" t="n">
        <f aca="false">(C31-C30)/C30</f>
        <v>0.00110447938767825</v>
      </c>
      <c r="I31" s="25" t="n">
        <f aca="false">(D31-D30)/D30</f>
        <v>0.000159001107827213</v>
      </c>
      <c r="J31" s="25" t="n">
        <f aca="false">(E31-E30)/E30</f>
        <v>-0.00866606753113361</v>
      </c>
      <c r="L31" s="24" t="n">
        <f aca="false">MAX($B$2:B31)</f>
        <v>92.401101</v>
      </c>
      <c r="M31" s="25" t="n">
        <f aca="false">(B31-L31)/L31</f>
        <v>-0.02168299921015</v>
      </c>
    </row>
    <row r="32" customFormat="false" ht="15" hidden="false" customHeight="false" outlineLevel="0" collapsed="false">
      <c r="A32" s="22" t="n">
        <v>45420</v>
      </c>
      <c r="B32" s="23" t="n">
        <v>90.255813</v>
      </c>
      <c r="C32" s="23" t="n">
        <v>504.915</v>
      </c>
      <c r="D32" s="23" t="n">
        <v>435.280728</v>
      </c>
      <c r="E32" s="23" t="n">
        <v>153.62</v>
      </c>
      <c r="G32" s="25" t="n">
        <f aca="false">(B32-B31)/B31</f>
        <v>-0.00156812847000489</v>
      </c>
      <c r="H32" s="25" t="n">
        <f aca="false">(C32-C31)/C31</f>
        <v>9.50745443849604E-005</v>
      </c>
      <c r="I32" s="25" t="n">
        <f aca="false">(D32-D31)/D31</f>
        <v>-0.000590479032107422</v>
      </c>
      <c r="J32" s="25" t="n">
        <f aca="false">(E32-E31)/E31</f>
        <v>-0.00524509486498739</v>
      </c>
      <c r="L32" s="24" t="n">
        <f aca="false">MAX($B$2:B32)</f>
        <v>92.401101</v>
      </c>
      <c r="M32" s="25" t="n">
        <f aca="false">(B32-L32)/L32</f>
        <v>-0.0232171259517784</v>
      </c>
    </row>
    <row r="33" customFormat="false" ht="15" hidden="false" customHeight="false" outlineLevel="0" collapsed="false">
      <c r="A33" s="22" t="n">
        <v>45421</v>
      </c>
      <c r="B33" s="23" t="n">
        <v>88.59369</v>
      </c>
      <c r="C33" s="23" t="n">
        <v>507.825</v>
      </c>
      <c r="D33" s="23" t="n">
        <v>436.230302</v>
      </c>
      <c r="E33" s="23" t="n">
        <v>152.39</v>
      </c>
      <c r="G33" s="25" t="n">
        <f aca="false">(B33-B32)/B32</f>
        <v>-0.0184156891922297</v>
      </c>
      <c r="H33" s="25" t="n">
        <f aca="false">(C33-C32)/C32</f>
        <v>0.00576334630581379</v>
      </c>
      <c r="I33" s="25" t="n">
        <f aca="false">(D33-D32)/D32</f>
        <v>0.00218152088736624</v>
      </c>
      <c r="J33" s="25" t="n">
        <f aca="false">(E33-E32)/E32</f>
        <v>-0.00800676995182931</v>
      </c>
      <c r="L33" s="24" t="n">
        <f aca="false">MAX($B$2:B33)</f>
        <v>92.401101</v>
      </c>
      <c r="M33" s="25" t="n">
        <f aca="false">(B33-L33)/L33</f>
        <v>-0.0412052557685433</v>
      </c>
    </row>
    <row r="34" customFormat="false" ht="15" hidden="false" customHeight="false" outlineLevel="0" collapsed="false">
      <c r="A34" s="22" t="n">
        <v>45422</v>
      </c>
      <c r="B34" s="23" t="n">
        <v>89.722736</v>
      </c>
      <c r="C34" s="23" t="n">
        <v>508.479</v>
      </c>
      <c r="D34" s="23" t="n">
        <v>437.259007</v>
      </c>
      <c r="E34" s="23" t="n">
        <v>151.92</v>
      </c>
      <c r="G34" s="25" t="n">
        <f aca="false">(B34-B33)/B33</f>
        <v>0.0127440904651336</v>
      </c>
      <c r="H34" s="25" t="n">
        <f aca="false">(C34-C33)/C33</f>
        <v>0.00128784522227144</v>
      </c>
      <c r="I34" s="25" t="n">
        <f aca="false">(D34-D33)/D33</f>
        <v>0.0023581695156977</v>
      </c>
      <c r="J34" s="25" t="n">
        <f aca="false">(E34-E33)/E33</f>
        <v>-0.00308419187610735</v>
      </c>
      <c r="L34" s="24" t="n">
        <f aca="false">MAX($B$2:B34)</f>
        <v>92.401101</v>
      </c>
      <c r="M34" s="25" t="n">
        <f aca="false">(B34-L34)/L34</f>
        <v>-0.028986288810563</v>
      </c>
    </row>
    <row r="35" customFormat="false" ht="15" hidden="false" customHeight="false" outlineLevel="0" collapsed="false">
      <c r="A35" s="22" t="n">
        <v>45425</v>
      </c>
      <c r="B35" s="23" t="n">
        <v>90.242836</v>
      </c>
      <c r="C35" s="23" t="n">
        <v>508.547</v>
      </c>
      <c r="D35" s="23" t="n">
        <v>438.267929</v>
      </c>
      <c r="E35" s="23" t="n">
        <v>150.56</v>
      </c>
      <c r="G35" s="25" t="n">
        <f aca="false">(B35-B34)/B34</f>
        <v>0.00579674699175468</v>
      </c>
      <c r="H35" s="25" t="n">
        <f aca="false">(C35-C34)/C34</f>
        <v>0.000133732169863535</v>
      </c>
      <c r="I35" s="25" t="n">
        <f aca="false">(D35-D34)/D34</f>
        <v>0.00230737842754142</v>
      </c>
      <c r="J35" s="25" t="n">
        <f aca="false">(E35-E34)/E34</f>
        <v>-0.00895208004212734</v>
      </c>
      <c r="L35" s="24" t="n">
        <f aca="false">MAX($B$2:B35)</f>
        <v>92.401101</v>
      </c>
      <c r="M35" s="25" t="n">
        <f aca="false">(B35-L35)/L35</f>
        <v>-0.0233575680012731</v>
      </c>
    </row>
    <row r="36" customFormat="false" ht="15" hidden="false" customHeight="false" outlineLevel="0" collapsed="false">
      <c r="A36" s="22" t="n">
        <v>45426</v>
      </c>
      <c r="B36" s="23" t="n">
        <v>91.198183</v>
      </c>
      <c r="C36" s="23" t="n">
        <v>510.88</v>
      </c>
      <c r="D36" s="23" t="n">
        <v>441.086976</v>
      </c>
      <c r="E36" s="23" t="n">
        <v>153.16</v>
      </c>
      <c r="G36" s="25" t="n">
        <f aca="false">(B36-B35)/B35</f>
        <v>0.0105864026702353</v>
      </c>
      <c r="H36" s="25" t="n">
        <f aca="false">(C36-C35)/C35</f>
        <v>0.0045875799090349</v>
      </c>
      <c r="I36" s="25" t="n">
        <f aca="false">(D36-D35)/D35</f>
        <v>0.00643224569598843</v>
      </c>
      <c r="J36" s="25" t="n">
        <f aca="false">(E36-E35)/E35</f>
        <v>0.0172688629117959</v>
      </c>
      <c r="L36" s="24" t="n">
        <f aca="false">MAX($B$2:B36)</f>
        <v>92.401101</v>
      </c>
      <c r="M36" s="25" t="n">
        <f aca="false">(B36-L36)/L36</f>
        <v>-0.0130184379512967</v>
      </c>
    </row>
    <row r="37" customFormat="false" ht="15" hidden="false" customHeight="false" outlineLevel="0" collapsed="false">
      <c r="A37" s="22" t="n">
        <v>45427</v>
      </c>
      <c r="B37" s="23" t="n">
        <v>94.466527</v>
      </c>
      <c r="C37" s="23" t="n">
        <v>517.207</v>
      </c>
      <c r="D37" s="23" t="n">
        <v>447.981279</v>
      </c>
      <c r="E37" s="23" t="n">
        <v>159.67</v>
      </c>
      <c r="G37" s="25" t="n">
        <f aca="false">(B37-B36)/B36</f>
        <v>0.0358378192688335</v>
      </c>
      <c r="H37" s="25" t="n">
        <f aca="false">(C37-C36)/C36</f>
        <v>0.0123845129971813</v>
      </c>
      <c r="I37" s="25" t="n">
        <f aca="false">(D37-D36)/D36</f>
        <v>0.0156302574665002</v>
      </c>
      <c r="J37" s="25" t="n">
        <f aca="false">(E37-E36)/E36</f>
        <v>0.0425045703839122</v>
      </c>
      <c r="L37" s="24" t="n">
        <f aca="false">MAX($B$2:B37)</f>
        <v>94.466527</v>
      </c>
      <c r="M37" s="25" t="n">
        <f aca="false">(B37-L37)/L37</f>
        <v>0</v>
      </c>
    </row>
    <row r="38" customFormat="false" ht="15" hidden="false" customHeight="false" outlineLevel="0" collapsed="false">
      <c r="A38" s="22" t="n">
        <v>45428</v>
      </c>
      <c r="B38" s="23" t="n">
        <v>94.195995</v>
      </c>
      <c r="C38" s="23" t="n">
        <v>516.143</v>
      </c>
      <c r="D38" s="23" t="n">
        <v>447.07127</v>
      </c>
      <c r="E38" s="23" t="n">
        <v>162.62</v>
      </c>
      <c r="G38" s="25" t="n">
        <f aca="false">(B38-B37)/B37</f>
        <v>-0.00286378687341817</v>
      </c>
      <c r="H38" s="25" t="n">
        <f aca="false">(C38-C37)/C37</f>
        <v>-0.00205720340211939</v>
      </c>
      <c r="I38" s="25" t="n">
        <f aca="false">(D38-D37)/D37</f>
        <v>-0.00203135497543848</v>
      </c>
      <c r="J38" s="25" t="n">
        <f aca="false">(E38-E37)/E37</f>
        <v>0.0184756059372457</v>
      </c>
      <c r="L38" s="24" t="n">
        <f aca="false">MAX($B$2:B38)</f>
        <v>94.466527</v>
      </c>
      <c r="M38" s="25" t="n">
        <f aca="false">(B38-L38)/L38</f>
        <v>-0.00286378687341817</v>
      </c>
    </row>
    <row r="39" customFormat="false" ht="15" hidden="false" customHeight="false" outlineLevel="0" collapsed="false">
      <c r="A39" s="22" t="n">
        <v>45429</v>
      </c>
      <c r="B39" s="23" t="n">
        <v>92.319243</v>
      </c>
      <c r="C39" s="23" t="n">
        <v>516.884</v>
      </c>
      <c r="D39" s="23" t="n">
        <v>446.85366</v>
      </c>
      <c r="E39" s="23" t="n">
        <v>164.47</v>
      </c>
      <c r="G39" s="25" t="n">
        <f aca="false">(B39-B38)/B38</f>
        <v>-0.0199239044080377</v>
      </c>
      <c r="H39" s="25" t="n">
        <f aca="false">(C39-C38)/C38</f>
        <v>0.00143564864775844</v>
      </c>
      <c r="I39" s="25" t="n">
        <f aca="false">(D39-D38)/D38</f>
        <v>-0.000486745659142973</v>
      </c>
      <c r="J39" s="25" t="n">
        <f aca="false">(E39-E38)/E38</f>
        <v>0.0113762144877628</v>
      </c>
      <c r="L39" s="24" t="n">
        <f aca="false">MAX($B$2:B39)</f>
        <v>94.466527</v>
      </c>
      <c r="M39" s="25" t="n">
        <f aca="false">(B39-L39)/L39</f>
        <v>-0.0227306334655449</v>
      </c>
    </row>
    <row r="40" customFormat="false" ht="15" hidden="false" customHeight="false" outlineLevel="0" collapsed="false">
      <c r="A40" s="22" t="n">
        <v>45432</v>
      </c>
      <c r="B40" s="23" t="n">
        <v>94.616268</v>
      </c>
      <c r="C40" s="23" t="n">
        <v>517.48</v>
      </c>
      <c r="D40" s="23" t="n">
        <v>449.969449</v>
      </c>
      <c r="E40" s="23" t="n">
        <v>166.33</v>
      </c>
      <c r="G40" s="25" t="n">
        <f aca="false">(B40-B39)/B39</f>
        <v>0.0248813240377199</v>
      </c>
      <c r="H40" s="25" t="n">
        <f aca="false">(C40-C39)/C39</f>
        <v>0.00115306335657518</v>
      </c>
      <c r="I40" s="25" t="n">
        <f aca="false">(D40-D39)/D39</f>
        <v>0.00697272793961228</v>
      </c>
      <c r="J40" s="25" t="n">
        <f aca="false">(E40-E39)/E39</f>
        <v>0.0113090533227945</v>
      </c>
      <c r="L40" s="24" t="n">
        <f aca="false">MAX($B$2:B40)</f>
        <v>94.616268</v>
      </c>
      <c r="M40" s="25" t="n">
        <f aca="false">(B40-L40)/L40</f>
        <v>0</v>
      </c>
    </row>
    <row r="41" customFormat="false" ht="15" hidden="false" customHeight="false" outlineLevel="0" collapsed="false">
      <c r="A41" s="22" t="n">
        <v>45433</v>
      </c>
      <c r="B41" s="23" t="n">
        <v>95.221221</v>
      </c>
      <c r="C41" s="23" t="n">
        <v>518.749</v>
      </c>
      <c r="D41" s="23" t="n">
        <v>450.849783</v>
      </c>
      <c r="E41" s="23" t="n">
        <v>164.66</v>
      </c>
      <c r="G41" s="25" t="n">
        <f aca="false">(B41-B40)/B40</f>
        <v>0.00639375249930588</v>
      </c>
      <c r="H41" s="25" t="n">
        <f aca="false">(C41-C40)/C40</f>
        <v>0.00245226868671254</v>
      </c>
      <c r="I41" s="25" t="n">
        <f aca="false">(D41-D40)/D40</f>
        <v>0.00195643060202517</v>
      </c>
      <c r="J41" s="25" t="n">
        <f aca="false">(E41-E40)/E40</f>
        <v>-0.0100402813683642</v>
      </c>
      <c r="L41" s="24" t="n">
        <f aca="false">MAX($B$2:B41)</f>
        <v>95.221221</v>
      </c>
      <c r="M41" s="25" t="n">
        <f aca="false">(B41-L41)/L41</f>
        <v>0</v>
      </c>
    </row>
    <row r="42" customFormat="false" ht="15" hidden="false" customHeight="false" outlineLevel="0" collapsed="false">
      <c r="A42" s="22" t="n">
        <v>45434</v>
      </c>
      <c r="B42" s="23" t="n">
        <v>94.785974</v>
      </c>
      <c r="C42" s="23" t="n">
        <v>517.255</v>
      </c>
      <c r="D42" s="23" t="n">
        <v>450.760761</v>
      </c>
      <c r="E42" s="23" t="n">
        <v>165.52</v>
      </c>
      <c r="G42" s="25" t="n">
        <f aca="false">(B42-B41)/B41</f>
        <v>-0.00457090337037375</v>
      </c>
      <c r="H42" s="25" t="n">
        <f aca="false">(C42-C41)/C41</f>
        <v>-0.00288000555181799</v>
      </c>
      <c r="I42" s="25" t="n">
        <f aca="false">(D42-D41)/D41</f>
        <v>-0.000197453793606461</v>
      </c>
      <c r="J42" s="25" t="n">
        <f aca="false">(E42-E41)/E41</f>
        <v>0.0052228835175514</v>
      </c>
      <c r="L42" s="24" t="n">
        <f aca="false">MAX($B$2:B42)</f>
        <v>95.221221</v>
      </c>
      <c r="M42" s="25" t="n">
        <f aca="false">(B42-L42)/L42</f>
        <v>-0.00457090337037375</v>
      </c>
    </row>
    <row r="43" customFormat="false" ht="15" hidden="false" customHeight="false" outlineLevel="0" collapsed="false">
      <c r="A43" s="22" t="n">
        <v>45435</v>
      </c>
      <c r="B43" s="23" t="n">
        <v>103.619687</v>
      </c>
      <c r="C43" s="23" t="n">
        <v>513.477</v>
      </c>
      <c r="D43" s="23" t="n">
        <v>448.733025</v>
      </c>
      <c r="E43" s="23" t="n">
        <v>160.43</v>
      </c>
      <c r="G43" s="25" t="n">
        <f aca="false">(B43-B42)/B42</f>
        <v>0.0931964153261748</v>
      </c>
      <c r="H43" s="25" t="n">
        <f aca="false">(C43-C42)/C42</f>
        <v>-0.00730394099622047</v>
      </c>
      <c r="I43" s="25" t="n">
        <f aca="false">(D43-D42)/D42</f>
        <v>-0.00449847496818829</v>
      </c>
      <c r="J43" s="25" t="n">
        <f aca="false">(E43-E42)/E42</f>
        <v>-0.0307515708071532</v>
      </c>
      <c r="L43" s="24" t="n">
        <f aca="false">MAX($B$2:B43)</f>
        <v>103.619687</v>
      </c>
      <c r="M43" s="25" t="n">
        <f aca="false">(B43-L43)/L43</f>
        <v>0</v>
      </c>
    </row>
    <row r="44" customFormat="false" ht="15" hidden="false" customHeight="false" outlineLevel="0" collapsed="false">
      <c r="A44" s="22" t="n">
        <v>45436</v>
      </c>
      <c r="B44" s="23" t="n">
        <v>106.285075</v>
      </c>
      <c r="C44" s="23" t="n">
        <v>516.875</v>
      </c>
      <c r="D44" s="23" t="n">
        <v>452.976433</v>
      </c>
      <c r="E44" s="23" t="n">
        <v>166.36</v>
      </c>
      <c r="G44" s="25" t="n">
        <f aca="false">(B44-B43)/B43</f>
        <v>0.0257227953217038</v>
      </c>
      <c r="H44" s="25" t="n">
        <f aca="false">(C44-C43)/C43</f>
        <v>0.00661762844294881</v>
      </c>
      <c r="I44" s="25" t="n">
        <f aca="false">(D44-D43)/D43</f>
        <v>0.009456420106365</v>
      </c>
      <c r="J44" s="25" t="n">
        <f aca="false">(E44-E43)/E43</f>
        <v>0.0369631615034595</v>
      </c>
      <c r="L44" s="24" t="n">
        <f aca="false">MAX($B$2:B44)</f>
        <v>106.285075</v>
      </c>
      <c r="M44" s="25" t="n">
        <f aca="false">(B44-L44)/L44</f>
        <v>0</v>
      </c>
    </row>
    <row r="45" customFormat="false" ht="15" hidden="false" customHeight="false" outlineLevel="0" collapsed="false">
      <c r="A45" s="22" t="n">
        <v>45440</v>
      </c>
      <c r="B45" s="23" t="n">
        <v>113.704236</v>
      </c>
      <c r="C45" s="23" t="n">
        <v>517.236</v>
      </c>
      <c r="D45" s="23" t="n">
        <v>454.687645</v>
      </c>
      <c r="E45" s="23" t="n">
        <v>171.61</v>
      </c>
      <c r="G45" s="25" t="n">
        <f aca="false">(B45-B44)/B44</f>
        <v>0.0698043539979624</v>
      </c>
      <c r="H45" s="25" t="n">
        <f aca="false">(C45-C44)/C44</f>
        <v>0.000698428053204334</v>
      </c>
      <c r="I45" s="25" t="n">
        <f aca="false">(D45-D44)/D44</f>
        <v>0.00377770646624344</v>
      </c>
      <c r="J45" s="25" t="n">
        <f aca="false">(E45-E44)/E44</f>
        <v>0.0315580668429911</v>
      </c>
      <c r="L45" s="24" t="n">
        <f aca="false">MAX($B$2:B45)</f>
        <v>113.704236</v>
      </c>
      <c r="M45" s="25" t="n">
        <f aca="false">(B45-L45)/L45</f>
        <v>0</v>
      </c>
    </row>
    <row r="46" customFormat="false" ht="15" hidden="false" customHeight="false" outlineLevel="0" collapsed="false">
      <c r="A46" s="22" t="n">
        <v>45441</v>
      </c>
      <c r="B46" s="23" t="n">
        <v>114.62664</v>
      </c>
      <c r="C46" s="23" t="n">
        <v>513.614</v>
      </c>
      <c r="D46" s="23" t="n">
        <v>451.482833</v>
      </c>
      <c r="E46" s="23" t="n">
        <v>165.14</v>
      </c>
      <c r="G46" s="25" t="n">
        <f aca="false">(B46-B45)/B45</f>
        <v>0.00811230990549904</v>
      </c>
      <c r="H46" s="25" t="n">
        <f aca="false">(C46-C45)/C45</f>
        <v>-0.00700260616043732</v>
      </c>
      <c r="I46" s="25" t="n">
        <f aca="false">(D46-D45)/D45</f>
        <v>-0.00704838153233732</v>
      </c>
      <c r="J46" s="25" t="n">
        <f aca="false">(E46-E45)/E45</f>
        <v>-0.0377017656313736</v>
      </c>
      <c r="L46" s="24" t="n">
        <f aca="false">MAX($B$2:B46)</f>
        <v>114.62664</v>
      </c>
      <c r="M46" s="25" t="n">
        <f aca="false">(B46-L46)/L46</f>
        <v>0</v>
      </c>
    </row>
    <row r="47" customFormat="false" ht="15" hidden="false" customHeight="false" outlineLevel="0" collapsed="false">
      <c r="A47" s="22" t="n">
        <v>45442</v>
      </c>
      <c r="B47" s="23" t="n">
        <v>110.309111</v>
      </c>
      <c r="C47" s="23" t="n">
        <v>510.207</v>
      </c>
      <c r="D47" s="23" t="n">
        <v>446.64594</v>
      </c>
      <c r="E47" s="23" t="n">
        <v>166.75</v>
      </c>
      <c r="G47" s="25" t="n">
        <f aca="false">(B47-B46)/B46</f>
        <v>-0.0376660172539298</v>
      </c>
      <c r="H47" s="25" t="n">
        <f aca="false">(C47-C46)/C46</f>
        <v>-0.00663338616159225</v>
      </c>
      <c r="I47" s="25" t="n">
        <f aca="false">(D47-D46)/D46</f>
        <v>-0.0107133486512876</v>
      </c>
      <c r="J47" s="25" t="n">
        <f aca="false">(E47-E46)/E46</f>
        <v>0.00974930362117</v>
      </c>
      <c r="L47" s="24" t="n">
        <f aca="false">MAX($B$2:B47)</f>
        <v>114.62664</v>
      </c>
      <c r="M47" s="25" t="n">
        <f aca="false">(B47-L47)/L47</f>
        <v>-0.0376660172539298</v>
      </c>
    </row>
    <row r="48" customFormat="false" ht="15" hidden="false" customHeight="false" outlineLevel="0" collapsed="false">
      <c r="A48" s="22" t="n">
        <v>45443</v>
      </c>
      <c r="B48" s="23" t="n">
        <v>109.443609</v>
      </c>
      <c r="C48" s="23" t="n">
        <v>514.854</v>
      </c>
      <c r="D48" s="23" t="n">
        <v>445.815063</v>
      </c>
      <c r="E48" s="23" t="n">
        <v>166.9</v>
      </c>
      <c r="G48" s="25" t="n">
        <f aca="false">(B48-B47)/B47</f>
        <v>-0.00784615152958677</v>
      </c>
      <c r="H48" s="25" t="n">
        <f aca="false">(C48-C47)/C47</f>
        <v>0.0091080679018517</v>
      </c>
      <c r="I48" s="25" t="n">
        <f aca="false">(D48-D47)/D47</f>
        <v>-0.00186025870961681</v>
      </c>
      <c r="J48" s="25" t="n">
        <f aca="false">(E48-E47)/E47</f>
        <v>0.00089955022488759</v>
      </c>
      <c r="L48" s="24" t="n">
        <f aca="false">MAX($B$2:B48)</f>
        <v>114.62664</v>
      </c>
      <c r="M48" s="25" t="n">
        <f aca="false">(B48-L48)/L48</f>
        <v>-0.0452166355046262</v>
      </c>
    </row>
    <row r="49" customFormat="false" ht="15" hidden="false" customHeight="false" outlineLevel="0" collapsed="false">
      <c r="A49" s="22" t="n">
        <v>45446</v>
      </c>
      <c r="B49" s="23" t="n">
        <v>114.801338</v>
      </c>
      <c r="C49" s="23" t="n">
        <v>515.274</v>
      </c>
      <c r="D49" s="23" t="n">
        <v>448.208781</v>
      </c>
      <c r="E49" s="23" t="n">
        <v>163.55</v>
      </c>
      <c r="G49" s="25" t="n">
        <f aca="false">(B49-B48)/B48</f>
        <v>0.0489542427278692</v>
      </c>
      <c r="H49" s="25" t="n">
        <f aca="false">(C49-C48)/C48</f>
        <v>0.00081576524606968</v>
      </c>
      <c r="I49" s="25" t="n">
        <f aca="false">(D49-D48)/D48</f>
        <v>0.00536930713801381</v>
      </c>
      <c r="J49" s="25" t="n">
        <f aca="false">(E49-E48)/E48</f>
        <v>-0.0200718993409227</v>
      </c>
      <c r="L49" s="24" t="n">
        <f aca="false">MAX($B$2:B49)</f>
        <v>114.801338</v>
      </c>
      <c r="M49" s="25" t="n">
        <f aca="false">(B49-L49)/L49</f>
        <v>0</v>
      </c>
    </row>
    <row r="50" customFormat="false" ht="15" hidden="false" customHeight="false" outlineLevel="0" collapsed="false">
      <c r="A50" s="22" t="n">
        <v>45447</v>
      </c>
      <c r="B50" s="23" t="n">
        <v>116.235855</v>
      </c>
      <c r="C50" s="23" t="n">
        <v>515.85</v>
      </c>
      <c r="D50" s="23" t="n">
        <v>449.435314</v>
      </c>
      <c r="E50" s="23" t="n">
        <v>159.99</v>
      </c>
      <c r="G50" s="25" t="n">
        <f aca="false">(B50-B49)/B49</f>
        <v>0.0124956470455074</v>
      </c>
      <c r="H50" s="25" t="n">
        <f aca="false">(C50-C49)/C49</f>
        <v>0.00111785186133983</v>
      </c>
      <c r="I50" s="25" t="n">
        <f aca="false">(D50-D49)/D49</f>
        <v>0.00273652157653738</v>
      </c>
      <c r="J50" s="25" t="n">
        <f aca="false">(E50-E49)/E49</f>
        <v>-0.0217670437175176</v>
      </c>
      <c r="L50" s="24" t="n">
        <f aca="false">MAX($B$2:B50)</f>
        <v>116.235855</v>
      </c>
      <c r="M50" s="25" t="n">
        <f aca="false">(B50-L50)/L50</f>
        <v>0</v>
      </c>
    </row>
    <row r="51" customFormat="false" ht="15" hidden="false" customHeight="false" outlineLevel="0" collapsed="false">
      <c r="A51" s="22" t="n">
        <v>45448</v>
      </c>
      <c r="B51" s="23" t="n">
        <v>122.228485</v>
      </c>
      <c r="C51" s="23" t="n">
        <v>521.981</v>
      </c>
      <c r="D51" s="23" t="n">
        <v>458.495832</v>
      </c>
      <c r="E51" s="23" t="n">
        <v>166.17</v>
      </c>
      <c r="G51" s="25" t="n">
        <f aca="false">(B51-B50)/B50</f>
        <v>0.051555778550431</v>
      </c>
      <c r="H51" s="25" t="n">
        <f aca="false">(C51-C50)/C50</f>
        <v>0.0118852379567703</v>
      </c>
      <c r="I51" s="25" t="n">
        <f aca="false">(D51-D50)/D50</f>
        <v>0.0201597821038157</v>
      </c>
      <c r="J51" s="25" t="n">
        <f aca="false">(E51-E50)/E50</f>
        <v>0.0386274142133882</v>
      </c>
      <c r="L51" s="24" t="n">
        <f aca="false">MAX($B$2:B51)</f>
        <v>122.228485</v>
      </c>
      <c r="M51" s="25" t="n">
        <f aca="false">(B51-L51)/L51</f>
        <v>0</v>
      </c>
    </row>
    <row r="52" customFormat="false" ht="15" hidden="false" customHeight="false" outlineLevel="0" collapsed="false">
      <c r="A52" s="22" t="n">
        <v>45449</v>
      </c>
      <c r="B52" s="23" t="n">
        <v>120.788976</v>
      </c>
      <c r="C52" s="23" t="n">
        <v>521.971</v>
      </c>
      <c r="D52" s="23" t="n">
        <v>458.337569</v>
      </c>
      <c r="E52" s="23" t="n">
        <v>166.78</v>
      </c>
      <c r="G52" s="25" t="n">
        <f aca="false">(B52-B51)/B51</f>
        <v>-0.0117771974347878</v>
      </c>
      <c r="H52" s="25" t="n">
        <f aca="false">(C52-C51)/C51</f>
        <v>-1.91577854366172E-005</v>
      </c>
      <c r="I52" s="25" t="n">
        <f aca="false">(D52-D51)/D51</f>
        <v>-0.000345178710370553</v>
      </c>
      <c r="J52" s="25" t="n">
        <f aca="false">(E52-E51)/E51</f>
        <v>0.00367093939941033</v>
      </c>
      <c r="L52" s="24" t="n">
        <f aca="false">MAX($B$2:B52)</f>
        <v>122.228485</v>
      </c>
      <c r="M52" s="25" t="n">
        <f aca="false">(B52-L52)/L52</f>
        <v>-0.0117771974347878</v>
      </c>
    </row>
    <row r="53" customFormat="false" ht="15" hidden="false" customHeight="false" outlineLevel="0" collapsed="false">
      <c r="A53" s="22" t="n">
        <v>45450</v>
      </c>
      <c r="B53" s="23" t="n">
        <v>120.679166</v>
      </c>
      <c r="C53" s="23" t="n">
        <v>521.336</v>
      </c>
      <c r="D53" s="23" t="n">
        <v>457.932022</v>
      </c>
      <c r="E53" s="23" t="n">
        <v>167.87</v>
      </c>
      <c r="G53" s="25" t="n">
        <f aca="false">(B53-B52)/B52</f>
        <v>-0.000909106142269226</v>
      </c>
      <c r="H53" s="25" t="n">
        <f aca="false">(C53-C52)/C52</f>
        <v>-0.00121654268148995</v>
      </c>
      <c r="I53" s="25" t="n">
        <f aca="false">(D53-D52)/D52</f>
        <v>-0.000884821641142745</v>
      </c>
      <c r="J53" s="25" t="n">
        <f aca="false">(E53-E52)/E52</f>
        <v>0.00653555582204103</v>
      </c>
      <c r="L53" s="24" t="n">
        <f aca="false">MAX($B$2:B53)</f>
        <v>122.228485</v>
      </c>
      <c r="M53" s="25" t="n">
        <f aca="false">(B53-L53)/L53</f>
        <v>-0.0126755968545304</v>
      </c>
    </row>
    <row r="54" customFormat="false" ht="15" hidden="false" customHeight="false" outlineLevel="0" collapsed="false">
      <c r="A54" s="22" t="n">
        <v>45453</v>
      </c>
      <c r="B54" s="23" t="n">
        <v>121.579608</v>
      </c>
      <c r="C54" s="23" t="n">
        <v>522.947</v>
      </c>
      <c r="D54" s="23" t="n">
        <v>459.781713</v>
      </c>
      <c r="E54" s="23" t="n">
        <v>160.34</v>
      </c>
      <c r="G54" s="25" t="n">
        <f aca="false">(B54-B53)/B53</f>
        <v>0.00746145361992308</v>
      </c>
      <c r="H54" s="25" t="n">
        <f aca="false">(C54-C53)/C53</f>
        <v>0.00309013764635473</v>
      </c>
      <c r="I54" s="25" t="n">
        <f aca="false">(D54-D53)/D53</f>
        <v>0.00403922615396398</v>
      </c>
      <c r="J54" s="25" t="n">
        <f aca="false">(E54-E53)/E53</f>
        <v>-0.0448561386787395</v>
      </c>
      <c r="L54" s="24" t="n">
        <f aca="false">MAX($B$2:B54)</f>
        <v>122.228485</v>
      </c>
      <c r="M54" s="25" t="n">
        <f aca="false">(B54-L54)/L54</f>
        <v>-0.0053087216126422</v>
      </c>
    </row>
    <row r="55" customFormat="false" ht="15" hidden="false" customHeight="false" outlineLevel="0" collapsed="false">
      <c r="A55" s="22" t="n">
        <v>45454</v>
      </c>
      <c r="B55" s="23" t="n">
        <v>120.71104</v>
      </c>
      <c r="C55" s="23" t="n">
        <v>524.206</v>
      </c>
      <c r="D55" s="23" t="n">
        <v>462.937068</v>
      </c>
      <c r="E55" s="23" t="n">
        <v>158.96</v>
      </c>
      <c r="G55" s="25" t="n">
        <f aca="false">(B55-B54)/B54</f>
        <v>-0.00714402698189318</v>
      </c>
      <c r="H55" s="25" t="n">
        <f aca="false">(C55-C54)/C54</f>
        <v>0.00240750974764176</v>
      </c>
      <c r="I55" s="25" t="n">
        <f aca="false">(D55-D54)/D54</f>
        <v>0.00686272400746827</v>
      </c>
      <c r="J55" s="25" t="n">
        <f aca="false">(E55-E54)/E54</f>
        <v>-0.00860671073967816</v>
      </c>
      <c r="L55" s="24" t="n">
        <f aca="false">MAX($B$2:B55)</f>
        <v>122.228485</v>
      </c>
      <c r="M55" s="25" t="n">
        <f aca="false">(B55-L55)/L55</f>
        <v>-0.0124148229440953</v>
      </c>
    </row>
    <row r="56" customFormat="false" ht="15" hidden="false" customHeight="false" outlineLevel="0" collapsed="false">
      <c r="A56" s="22" t="n">
        <v>45455</v>
      </c>
      <c r="B56" s="23" t="n">
        <v>124.99398</v>
      </c>
      <c r="C56" s="23" t="n">
        <v>528.512</v>
      </c>
      <c r="D56" s="23" t="n">
        <v>469.000493</v>
      </c>
      <c r="E56" s="23" t="n">
        <v>160.24</v>
      </c>
      <c r="G56" s="25" t="n">
        <f aca="false">(B56-B55)/B55</f>
        <v>0.0354809303274994</v>
      </c>
      <c r="H56" s="25" t="n">
        <f aca="false">(C56-C55)/C55</f>
        <v>0.00821432795504043</v>
      </c>
      <c r="I56" s="25" t="n">
        <f aca="false">(D56-D55)/D55</f>
        <v>0.0130977305969372</v>
      </c>
      <c r="J56" s="25" t="n">
        <f aca="false">(E56-E55)/E55</f>
        <v>0.00805234021137394</v>
      </c>
      <c r="L56" s="24" t="n">
        <f aca="false">MAX($B$2:B56)</f>
        <v>124.99398</v>
      </c>
      <c r="M56" s="25" t="n">
        <f aca="false">(B56-L56)/L56</f>
        <v>0</v>
      </c>
    </row>
    <row r="57" customFormat="false" ht="15" hidden="false" customHeight="false" outlineLevel="0" collapsed="false">
      <c r="A57" s="22" t="n">
        <v>45456</v>
      </c>
      <c r="B57" s="23" t="n">
        <v>129.396724</v>
      </c>
      <c r="C57" s="23" t="n">
        <v>529.576</v>
      </c>
      <c r="D57" s="23" t="n">
        <v>471.542582</v>
      </c>
      <c r="E57" s="23" t="n">
        <v>159.9</v>
      </c>
      <c r="G57" s="25" t="n">
        <f aca="false">(B57-B56)/B56</f>
        <v>0.0352236483709056</v>
      </c>
      <c r="H57" s="25" t="n">
        <f aca="false">(C57-C56)/C56</f>
        <v>0.00201319932186985</v>
      </c>
      <c r="I57" s="25" t="n">
        <f aca="false">(D57-D56)/D56</f>
        <v>0.00542022671178722</v>
      </c>
      <c r="J57" s="25" t="n">
        <f aca="false">(E57-E56)/E56</f>
        <v>-0.00212181727408889</v>
      </c>
      <c r="L57" s="24" t="n">
        <f aca="false">MAX($B$2:B57)</f>
        <v>129.396724</v>
      </c>
      <c r="M57" s="25" t="n">
        <f aca="false">(B57-L57)/L57</f>
        <v>0</v>
      </c>
    </row>
    <row r="58" customFormat="false" ht="15" hidden="false" customHeight="false" outlineLevel="0" collapsed="false">
      <c r="A58" s="22" t="n">
        <v>45457</v>
      </c>
      <c r="B58" s="23" t="n">
        <v>131.662988</v>
      </c>
      <c r="C58" s="23" t="n">
        <v>529.898</v>
      </c>
      <c r="D58" s="23" t="n">
        <v>473.985756</v>
      </c>
      <c r="E58" s="23" t="n">
        <v>159.63</v>
      </c>
      <c r="G58" s="25" t="n">
        <f aca="false">(B58-B57)/B57</f>
        <v>0.017514075549548</v>
      </c>
      <c r="H58" s="25" t="n">
        <f aca="false">(C58-C57)/C57</f>
        <v>0.000608033596688677</v>
      </c>
      <c r="I58" s="25" t="n">
        <f aca="false">(D58-D57)/D57</f>
        <v>0.00518123726946891</v>
      </c>
      <c r="J58" s="25" t="n">
        <f aca="false">(E58-E57)/E57</f>
        <v>-0.001688555347092</v>
      </c>
      <c r="L58" s="24" t="n">
        <f aca="false">MAX($B$2:B58)</f>
        <v>131.662988</v>
      </c>
      <c r="M58" s="25" t="n">
        <f aca="false">(B58-L58)/L58</f>
        <v>0</v>
      </c>
    </row>
    <row r="59" customFormat="false" ht="15" hidden="false" customHeight="false" outlineLevel="0" collapsed="false">
      <c r="A59" s="22" t="n">
        <v>45460</v>
      </c>
      <c r="B59" s="23" t="n">
        <v>130.764469</v>
      </c>
      <c r="C59" s="23" t="n">
        <v>534.116</v>
      </c>
      <c r="D59" s="23" t="n">
        <v>479.792005</v>
      </c>
      <c r="E59" s="23" t="n">
        <v>158.4</v>
      </c>
      <c r="G59" s="25" t="n">
        <f aca="false">(B59-B58)/B58</f>
        <v>-0.00682438560485975</v>
      </c>
      <c r="H59" s="25" t="n">
        <f aca="false">(C59-C58)/C58</f>
        <v>0.00796002249489517</v>
      </c>
      <c r="I59" s="25" t="n">
        <f aca="false">(D59-D58)/D58</f>
        <v>0.0122498385795375</v>
      </c>
      <c r="J59" s="25" t="n">
        <f aca="false">(E59-E58)/E58</f>
        <v>-0.00770531854914483</v>
      </c>
      <c r="L59" s="24" t="n">
        <f aca="false">MAX($B$2:B59)</f>
        <v>131.662988</v>
      </c>
      <c r="M59" s="25" t="n">
        <f aca="false">(B59-L59)/L59</f>
        <v>-0.00682438560485975</v>
      </c>
    </row>
    <row r="60" customFormat="false" ht="15" hidden="false" customHeight="false" outlineLevel="0" collapsed="false">
      <c r="A60" s="22" t="n">
        <v>45461</v>
      </c>
      <c r="B60" s="23" t="n">
        <v>135.3569</v>
      </c>
      <c r="C60" s="23" t="n">
        <v>535.473</v>
      </c>
      <c r="D60" s="23" t="n">
        <v>479.940376</v>
      </c>
      <c r="E60" s="23" t="n">
        <v>154.63</v>
      </c>
      <c r="G60" s="25" t="n">
        <f aca="false">(B60-B59)/B59</f>
        <v>0.0351198688383769</v>
      </c>
      <c r="H60" s="25" t="n">
        <f aca="false">(C60-C59)/C59</f>
        <v>0.00254064660111281</v>
      </c>
      <c r="I60" s="25" t="n">
        <f aca="false">(D60-D59)/D59</f>
        <v>0.00030924025088746</v>
      </c>
      <c r="J60" s="25" t="n">
        <f aca="false">(E60-E59)/E59</f>
        <v>-0.0238005050505051</v>
      </c>
      <c r="L60" s="24" t="n">
        <f aca="false">MAX($B$2:B60)</f>
        <v>135.3569</v>
      </c>
      <c r="M60" s="25" t="n">
        <f aca="false">(B60-L60)/L60</f>
        <v>0</v>
      </c>
    </row>
    <row r="61" customFormat="false" ht="15" hidden="false" customHeight="false" outlineLevel="0" collapsed="false">
      <c r="A61" s="22" t="n">
        <v>45463</v>
      </c>
      <c r="B61" s="23" t="n">
        <v>130.564798</v>
      </c>
      <c r="C61" s="23" t="n">
        <v>534.018</v>
      </c>
      <c r="D61" s="23" t="n">
        <v>476.240994</v>
      </c>
      <c r="E61" s="23" t="n">
        <v>161.78</v>
      </c>
      <c r="G61" s="25" t="n">
        <f aca="false">(B61-B60)/B60</f>
        <v>-0.0354034556051446</v>
      </c>
      <c r="H61" s="25" t="n">
        <f aca="false">(C61-C60)/C60</f>
        <v>-0.00271722383761633</v>
      </c>
      <c r="I61" s="25" t="n">
        <f aca="false">(D61-D60)/D60</f>
        <v>-0.00770800329580942</v>
      </c>
      <c r="J61" s="25" t="n">
        <f aca="false">(E61-E60)/E60</f>
        <v>0.0462394102050055</v>
      </c>
      <c r="L61" s="24" t="n">
        <f aca="false">MAX($B$2:B61)</f>
        <v>135.3569</v>
      </c>
      <c r="M61" s="25" t="n">
        <f aca="false">(B61-L61)/L61</f>
        <v>-0.0354034556051446</v>
      </c>
    </row>
    <row r="62" customFormat="false" ht="15" hidden="false" customHeight="false" outlineLevel="0" collapsed="false">
      <c r="A62" s="22" t="n">
        <v>45464</v>
      </c>
      <c r="B62" s="23" t="n">
        <v>126.361726</v>
      </c>
      <c r="C62" s="23" t="n">
        <v>533.304</v>
      </c>
      <c r="D62" s="23" t="n">
        <v>474.965004</v>
      </c>
      <c r="E62" s="23" t="n">
        <v>161.23</v>
      </c>
      <c r="G62" s="25" t="n">
        <f aca="false">(B62-B61)/B61</f>
        <v>-0.0321914640422451</v>
      </c>
      <c r="H62" s="25" t="n">
        <f aca="false">(C62-C61)/C61</f>
        <v>-0.00133703358313775</v>
      </c>
      <c r="I62" s="25" t="n">
        <f aca="false">(D62-D61)/D61</f>
        <v>-0.00267929476058497</v>
      </c>
      <c r="J62" s="25" t="n">
        <f aca="false">(E62-E61)/E61</f>
        <v>-0.00339967857584381</v>
      </c>
      <c r="L62" s="24" t="n">
        <f aca="false">MAX($B$2:B62)</f>
        <v>135.3569</v>
      </c>
      <c r="M62" s="25" t="n">
        <f aca="false">(B62-L62)/L62</f>
        <v>-0.0664552305793055</v>
      </c>
    </row>
    <row r="63" customFormat="false" ht="15" hidden="false" customHeight="false" outlineLevel="0" collapsed="false">
      <c r="A63" s="22" t="n">
        <v>45467</v>
      </c>
      <c r="B63" s="23" t="n">
        <v>117.915647</v>
      </c>
      <c r="C63" s="23" t="n">
        <v>531.571</v>
      </c>
      <c r="D63" s="23" t="n">
        <v>469.55721</v>
      </c>
      <c r="E63" s="23" t="n">
        <v>160.25</v>
      </c>
      <c r="G63" s="25" t="n">
        <f aca="false">(B63-B62)/B62</f>
        <v>-0.0668404845942038</v>
      </c>
      <c r="H63" s="25" t="n">
        <f aca="false">(C63-C62)/C62</f>
        <v>-0.0032495537254548</v>
      </c>
      <c r="I63" s="25" t="n">
        <f aca="false">(D63-D62)/D62</f>
        <v>-0.0113856683217866</v>
      </c>
      <c r="J63" s="25" t="n">
        <f aca="false">(E63-E62)/E62</f>
        <v>-0.00607827327420449</v>
      </c>
      <c r="L63" s="24" t="n">
        <f aca="false">MAX($B$2:B63)</f>
        <v>135.3569</v>
      </c>
      <c r="M63" s="25" t="n">
        <f aca="false">(B63-L63)/L63</f>
        <v>-0.128853815357769</v>
      </c>
    </row>
    <row r="64" customFormat="false" ht="15" hidden="false" customHeight="false" outlineLevel="0" collapsed="false">
      <c r="A64" s="22" t="n">
        <v>45468</v>
      </c>
      <c r="B64" s="23" t="n">
        <v>125.882516</v>
      </c>
      <c r="C64" s="23" t="n">
        <v>533.618</v>
      </c>
      <c r="D64" s="23" t="n">
        <v>474.926862</v>
      </c>
      <c r="E64" s="23" t="n">
        <v>160.25</v>
      </c>
      <c r="G64" s="25" t="n">
        <f aca="false">(B64-B63)/B63</f>
        <v>0.0675641376076238</v>
      </c>
      <c r="H64" s="25" t="n">
        <f aca="false">(C64-C63)/C63</f>
        <v>0.00385084965131662</v>
      </c>
      <c r="I64" s="25" t="n">
        <f aca="false">(D64-D63)/D63</f>
        <v>0.0114355650081489</v>
      </c>
      <c r="J64" s="25" t="n">
        <f aca="false">(E64-E63)/E63</f>
        <v>0</v>
      </c>
      <c r="L64" s="24" t="n">
        <f aca="false">MAX($B$2:B64)</f>
        <v>135.3569</v>
      </c>
      <c r="M64" s="25" t="n">
        <f aca="false">(B64-L64)/L64</f>
        <v>-0.0699955746622448</v>
      </c>
    </row>
    <row r="65" customFormat="false" ht="15" hidden="false" customHeight="false" outlineLevel="0" collapsed="false">
      <c r="A65" s="22" t="n">
        <v>45469</v>
      </c>
      <c r="B65" s="23" t="n">
        <v>126.192006</v>
      </c>
      <c r="C65" s="23" t="n">
        <v>534.284</v>
      </c>
      <c r="D65" s="23" t="n">
        <v>475.907665</v>
      </c>
      <c r="E65" s="23" t="n">
        <v>157.54</v>
      </c>
      <c r="G65" s="25" t="n">
        <f aca="false">(B65-B64)/B64</f>
        <v>0.00245856223591854</v>
      </c>
      <c r="H65" s="25" t="n">
        <f aca="false">(C65-C64)/C64</f>
        <v>0.00124808383525282</v>
      </c>
      <c r="I65" s="25" t="n">
        <f aca="false">(D65-D64)/D64</f>
        <v>0.00206516640450626</v>
      </c>
      <c r="J65" s="25" t="n">
        <f aca="false">(E65-E64)/E64</f>
        <v>-0.0169110764430578</v>
      </c>
      <c r="L65" s="24" t="n">
        <f aca="false">MAX($B$2:B65)</f>
        <v>135.3569</v>
      </c>
      <c r="M65" s="25" t="n">
        <f aca="false">(B65-L65)/L65</f>
        <v>-0.0677091009028723</v>
      </c>
    </row>
    <row r="66" customFormat="false" ht="15" hidden="false" customHeight="false" outlineLevel="0" collapsed="false">
      <c r="A66" s="22" t="n">
        <v>45470</v>
      </c>
      <c r="B66" s="23" t="n">
        <v>123.785971</v>
      </c>
      <c r="C66" s="23" t="n">
        <v>535.126</v>
      </c>
      <c r="D66" s="23" t="n">
        <v>477.136147</v>
      </c>
      <c r="E66" s="23" t="n">
        <v>159.47</v>
      </c>
      <c r="G66" s="25" t="n">
        <f aca="false">(B66-B65)/B65</f>
        <v>-0.01906646130976</v>
      </c>
      <c r="H66" s="25" t="n">
        <f aca="false">(C66-C65)/C65</f>
        <v>0.0015759408853718</v>
      </c>
      <c r="I66" s="25" t="n">
        <f aca="false">(D66-D65)/D65</f>
        <v>0.00258134526999053</v>
      </c>
      <c r="J66" s="25" t="n">
        <f aca="false">(E66-E65)/E65</f>
        <v>0.0122508569252254</v>
      </c>
      <c r="L66" s="24" t="n">
        <f aca="false">MAX($B$2:B66)</f>
        <v>135.3569</v>
      </c>
      <c r="M66" s="25" t="n">
        <f aca="false">(B66-L66)/L66</f>
        <v>-0.085484589259949</v>
      </c>
    </row>
    <row r="67" customFormat="false" ht="15" hidden="false" customHeight="false" outlineLevel="0" collapsed="false">
      <c r="A67" s="22" t="n">
        <v>45471</v>
      </c>
      <c r="B67" s="23" t="n">
        <v>123.336712</v>
      </c>
      <c r="C67" s="23" t="n">
        <v>533.02</v>
      </c>
      <c r="D67" s="23" t="n">
        <v>474.65937</v>
      </c>
      <c r="E67" s="23" t="n">
        <v>162.21</v>
      </c>
      <c r="G67" s="25" t="n">
        <f aca="false">(B67-B66)/B66</f>
        <v>-0.00362932080566705</v>
      </c>
      <c r="H67" s="25" t="n">
        <f aca="false">(C67-C66)/C66</f>
        <v>-0.00393552172759312</v>
      </c>
      <c r="I67" s="25" t="n">
        <f aca="false">(D67-D66)/D66</f>
        <v>-0.00519092300085152</v>
      </c>
      <c r="J67" s="25" t="n">
        <f aca="false">(E67-E66)/E66</f>
        <v>0.0171819150937481</v>
      </c>
      <c r="L67" s="24" t="n">
        <f aca="false">MAX($B$2:B67)</f>
        <v>135.3569</v>
      </c>
      <c r="M67" s="25" t="n">
        <f aca="false">(B67-L67)/L67</f>
        <v>-0.088803659067251</v>
      </c>
    </row>
    <row r="68" customFormat="false" ht="15" hidden="false" customHeight="false" outlineLevel="0" collapsed="false">
      <c r="A68" s="22" t="n">
        <v>45474</v>
      </c>
      <c r="B68" s="23" t="n">
        <v>124.095461</v>
      </c>
      <c r="C68" s="23" t="n">
        <v>534.117</v>
      </c>
      <c r="D68" s="23" t="n">
        <v>477.443267</v>
      </c>
      <c r="E68" s="23" t="n">
        <v>157.69</v>
      </c>
      <c r="G68" s="25" t="n">
        <f aca="false">(B68-B67)/B67</f>
        <v>0.00615185039147139</v>
      </c>
      <c r="H68" s="25" t="n">
        <f aca="false">(C68-C67)/C67</f>
        <v>0.00205808412442306</v>
      </c>
      <c r="I68" s="25" t="n">
        <f aca="false">(D68-D67)/D67</f>
        <v>0.00586504170348511</v>
      </c>
      <c r="J68" s="25" t="n">
        <f aca="false">(E68-E67)/E67</f>
        <v>-0.0278651131249615</v>
      </c>
      <c r="L68" s="24" t="n">
        <f aca="false">MAX($B$2:B68)</f>
        <v>135.3569</v>
      </c>
      <c r="M68" s="25" t="n">
        <f aca="false">(B68-L68)/L68</f>
        <v>-0.0831981155005766</v>
      </c>
    </row>
    <row r="69" customFormat="false" ht="15" hidden="false" customHeight="false" outlineLevel="0" collapsed="false">
      <c r="A69" s="22" t="n">
        <v>45475</v>
      </c>
      <c r="B69" s="23" t="n">
        <v>122.468144</v>
      </c>
      <c r="C69" s="23" t="n">
        <v>537.712</v>
      </c>
      <c r="D69" s="23" t="n">
        <v>482.456263</v>
      </c>
      <c r="E69" s="23" t="n">
        <v>164.31</v>
      </c>
      <c r="G69" s="25" t="n">
        <f aca="false">(B69-B68)/B68</f>
        <v>-0.0131134288626399</v>
      </c>
      <c r="H69" s="25" t="n">
        <f aca="false">(C69-C68)/C68</f>
        <v>0.0067307350262209</v>
      </c>
      <c r="I69" s="25" t="n">
        <f aca="false">(D69-D68)/D68</f>
        <v>0.0104996684349514</v>
      </c>
      <c r="J69" s="25" t="n">
        <f aca="false">(E69-E68)/E68</f>
        <v>0.0419811021624707</v>
      </c>
      <c r="L69" s="24" t="n">
        <f aca="false">MAX($B$2:B69)</f>
        <v>135.3569</v>
      </c>
      <c r="M69" s="25" t="n">
        <f aca="false">(B69-L69)/L69</f>
        <v>-0.095220531794094</v>
      </c>
    </row>
    <row r="70" customFormat="false" ht="15" hidden="false" customHeight="false" outlineLevel="0" collapsed="false">
      <c r="A70" s="22" t="n">
        <v>45476</v>
      </c>
      <c r="B70" s="23" t="n">
        <v>128.068912</v>
      </c>
      <c r="C70" s="23" t="n">
        <v>540.111</v>
      </c>
      <c r="D70" s="23" t="n">
        <v>486.478548</v>
      </c>
      <c r="E70" s="23" t="n">
        <v>163.9</v>
      </c>
      <c r="G70" s="25" t="n">
        <f aca="false">(B70-B69)/B69</f>
        <v>0.04573244777842</v>
      </c>
      <c r="H70" s="25" t="n">
        <f aca="false">(C70-C69)/C69</f>
        <v>0.00446149611688041</v>
      </c>
      <c r="I70" s="25" t="n">
        <f aca="false">(D70-D69)/D69</f>
        <v>0.00833709769874002</v>
      </c>
      <c r="J70" s="25" t="n">
        <f aca="false">(E70-E69)/E69</f>
        <v>-0.00249528330594606</v>
      </c>
      <c r="L70" s="24" t="n">
        <f aca="false">MAX($B$2:B70)</f>
        <v>135.3569</v>
      </c>
      <c r="M70" s="25" t="n">
        <f aca="false">(B70-L70)/L70</f>
        <v>-0.0538427520133808</v>
      </c>
    </row>
    <row r="71" customFormat="false" ht="15" hidden="false" customHeight="false" outlineLevel="0" collapsed="false">
      <c r="A71" s="22" t="n">
        <v>45478</v>
      </c>
      <c r="B71" s="23" t="n">
        <v>125.622944</v>
      </c>
      <c r="C71" s="23" t="n">
        <v>543.226</v>
      </c>
      <c r="D71" s="23" t="n">
        <v>491.550986</v>
      </c>
      <c r="E71" s="23" t="n">
        <v>171.9</v>
      </c>
      <c r="G71" s="25" t="n">
        <f aca="false">(B71-B70)/B70</f>
        <v>-0.0190988426605827</v>
      </c>
      <c r="H71" s="25" t="n">
        <f aca="false">(C71-C70)/C70</f>
        <v>0.00576733301117735</v>
      </c>
      <c r="I71" s="25" t="n">
        <f aca="false">(D71-D70)/D70</f>
        <v>0.010426848256421</v>
      </c>
      <c r="J71" s="25" t="n">
        <f aca="false">(E71-E70)/E70</f>
        <v>0.048810250152532</v>
      </c>
      <c r="L71" s="24" t="n">
        <f aca="false">MAX($B$2:B71)</f>
        <v>135.3569</v>
      </c>
      <c r="M71" s="25" t="n">
        <f aca="false">(B71-L71)/L71</f>
        <v>-0.0719132604248472</v>
      </c>
    </row>
    <row r="72" customFormat="false" ht="15" hidden="false" customHeight="false" outlineLevel="0" collapsed="false">
      <c r="A72" s="22" t="n">
        <v>45481</v>
      </c>
      <c r="B72" s="23" t="n">
        <v>127.989044</v>
      </c>
      <c r="C72" s="23" t="n">
        <v>543.853</v>
      </c>
      <c r="D72" s="23" t="n">
        <v>492.720025</v>
      </c>
      <c r="E72" s="23" t="n">
        <v>178.69</v>
      </c>
      <c r="G72" s="25" t="n">
        <f aca="false">(B72-B71)/B71</f>
        <v>0.0188349351214059</v>
      </c>
      <c r="H72" s="25" t="n">
        <f aca="false">(C72-C71)/C71</f>
        <v>0.00115421574077815</v>
      </c>
      <c r="I72" s="25" t="n">
        <f aca="false">(D72-D71)/D71</f>
        <v>0.00237826600555328</v>
      </c>
      <c r="J72" s="25" t="n">
        <f aca="false">(E72-E71)/E71</f>
        <v>0.0394997091332169</v>
      </c>
      <c r="L72" s="24" t="n">
        <f aca="false">MAX($B$2:B72)</f>
        <v>135.3569</v>
      </c>
      <c r="M72" s="25" t="n">
        <f aca="false">(B72-L72)/L72</f>
        <v>-0.054432806897912</v>
      </c>
    </row>
    <row r="73" customFormat="false" ht="15" hidden="false" customHeight="false" outlineLevel="0" collapsed="false">
      <c r="A73" s="22" t="n">
        <v>45482</v>
      </c>
      <c r="B73" s="23" t="n">
        <v>131.163811</v>
      </c>
      <c r="C73" s="23" t="n">
        <v>544.382</v>
      </c>
      <c r="D73" s="23" t="n">
        <v>493.14603</v>
      </c>
      <c r="E73" s="23" t="n">
        <v>177.1</v>
      </c>
      <c r="G73" s="25" t="n">
        <f aca="false">(B73-B72)/B72</f>
        <v>0.0248049903396419</v>
      </c>
      <c r="H73" s="25" t="n">
        <f aca="false">(C73-C72)/C72</f>
        <v>0.000972689311266089</v>
      </c>
      <c r="I73" s="25" t="n">
        <f aca="false">(D73-D72)/D72</f>
        <v>0.000864598511091517</v>
      </c>
      <c r="J73" s="25" t="n">
        <f aca="false">(E73-E72)/E72</f>
        <v>-0.00889809166713304</v>
      </c>
      <c r="L73" s="24" t="n">
        <f aca="false">MAX($B$2:B73)</f>
        <v>135.3569</v>
      </c>
      <c r="M73" s="25" t="n">
        <f aca="false">(B73-L73)/L73</f>
        <v>-0.0309780218075324</v>
      </c>
    </row>
    <row r="74" customFormat="false" ht="15" hidden="false" customHeight="false" outlineLevel="0" collapsed="false">
      <c r="A74" s="22" t="n">
        <v>45483</v>
      </c>
      <c r="B74" s="23" t="n">
        <v>134.688002</v>
      </c>
      <c r="C74" s="23" t="n">
        <v>549.768</v>
      </c>
      <c r="D74" s="23" t="n">
        <v>498.287819</v>
      </c>
      <c r="E74" s="23" t="n">
        <v>183.96</v>
      </c>
      <c r="G74" s="25" t="n">
        <f aca="false">(B74-B73)/B73</f>
        <v>0.0268686230838474</v>
      </c>
      <c r="H74" s="25" t="n">
        <f aca="false">(C74-C73)/C73</f>
        <v>0.00989378781811317</v>
      </c>
      <c r="I74" s="25" t="n">
        <f aca="false">(D74-D73)/D73</f>
        <v>0.0104265038897302</v>
      </c>
      <c r="J74" s="25" t="n">
        <f aca="false">(E74-E73)/E73</f>
        <v>0.0387351778656127</v>
      </c>
      <c r="L74" s="24" t="n">
        <f aca="false">MAX($B$2:B74)</f>
        <v>135.3569</v>
      </c>
      <c r="M74" s="25" t="n">
        <f aca="false">(B74-L74)/L74</f>
        <v>-0.00494173551551479</v>
      </c>
    </row>
    <row r="75" customFormat="false" ht="15" hidden="false" customHeight="false" outlineLevel="0" collapsed="false">
      <c r="A75" s="22" t="n">
        <v>45484</v>
      </c>
      <c r="B75" s="23" t="n">
        <v>127.19036</v>
      </c>
      <c r="C75" s="23" t="n">
        <v>545.028</v>
      </c>
      <c r="D75" s="23" t="n">
        <v>487.36028</v>
      </c>
      <c r="E75" s="23" t="n">
        <v>181.94</v>
      </c>
      <c r="G75" s="25" t="n">
        <f aca="false">(B75-B74)/B74</f>
        <v>-0.055666740085728</v>
      </c>
      <c r="H75" s="25" t="n">
        <f aca="false">(C75-C74)/C74</f>
        <v>-0.00862181865805214</v>
      </c>
      <c r="I75" s="25" t="n">
        <f aca="false">(D75-D74)/D74</f>
        <v>-0.0219301748574352</v>
      </c>
      <c r="J75" s="25" t="n">
        <f aca="false">(E75-E74)/E74</f>
        <v>-0.0109806479669494</v>
      </c>
      <c r="L75" s="24" t="n">
        <f aca="false">MAX($B$2:B75)</f>
        <v>135.3569</v>
      </c>
      <c r="M75" s="25" t="n">
        <f aca="false">(B75-L75)/L75</f>
        <v>-0.0603333852947282</v>
      </c>
    </row>
    <row r="76" customFormat="false" ht="15" hidden="false" customHeight="false" outlineLevel="0" collapsed="false">
      <c r="A76" s="22" t="n">
        <v>45485</v>
      </c>
      <c r="B76" s="23" t="n">
        <v>129.027332</v>
      </c>
      <c r="C76" s="23" t="n">
        <v>548.466</v>
      </c>
      <c r="D76" s="23" t="n">
        <v>490.223434</v>
      </c>
      <c r="E76" s="23" t="n">
        <v>181.61</v>
      </c>
      <c r="G76" s="25" t="n">
        <f aca="false">(B76-B75)/B75</f>
        <v>0.0144426983302823</v>
      </c>
      <c r="H76" s="25" t="n">
        <f aca="false">(C76-C75)/C75</f>
        <v>0.00630793280345228</v>
      </c>
      <c r="I76" s="25" t="n">
        <f aca="false">(D76-D75)/D75</f>
        <v>0.00587482016384267</v>
      </c>
      <c r="J76" s="25" t="n">
        <f aca="false">(E76-E75)/E75</f>
        <v>-0.00181378476420789</v>
      </c>
      <c r="L76" s="24" t="n">
        <f aca="false">MAX($B$2:B76)</f>
        <v>135.3569</v>
      </c>
      <c r="M76" s="25" t="n">
        <f aca="false">(B76-L76)/L76</f>
        <v>-0.0467620638475024</v>
      </c>
    </row>
    <row r="77" customFormat="false" ht="15" hidden="false" customHeight="false" outlineLevel="0" collapsed="false">
      <c r="A77" s="22" t="n">
        <v>45488</v>
      </c>
      <c r="B77" s="23" t="n">
        <v>128.228649</v>
      </c>
      <c r="C77" s="23" t="n">
        <v>549.974</v>
      </c>
      <c r="D77" s="23" t="n">
        <v>491.541079</v>
      </c>
      <c r="E77" s="23" t="n">
        <v>179.83</v>
      </c>
      <c r="G77" s="25" t="n">
        <f aca="false">(B77-B76)/B76</f>
        <v>-0.00619002956675886</v>
      </c>
      <c r="H77" s="25" t="n">
        <f aca="false">(C77-C76)/C76</f>
        <v>0.00274948675031823</v>
      </c>
      <c r="I77" s="25" t="n">
        <f aca="false">(D77-D76)/D76</f>
        <v>0.00268784580379735</v>
      </c>
      <c r="J77" s="25" t="n">
        <f aca="false">(E77-E76)/E76</f>
        <v>-0.0098012223996476</v>
      </c>
      <c r="L77" s="24" t="n">
        <f aca="false">MAX($B$2:B77)</f>
        <v>135.3569</v>
      </c>
      <c r="M77" s="25" t="n">
        <f aca="false">(B77-L77)/L77</f>
        <v>-0.0526626348564425</v>
      </c>
    </row>
    <row r="78" customFormat="false" ht="15" hidden="false" customHeight="false" outlineLevel="0" collapsed="false">
      <c r="A78" s="22" t="n">
        <v>45489</v>
      </c>
      <c r="B78" s="23" t="n">
        <v>126.152072</v>
      </c>
      <c r="C78" s="23" t="n">
        <v>553.236</v>
      </c>
      <c r="D78" s="23" t="n">
        <v>491.729314</v>
      </c>
      <c r="E78" s="23" t="n">
        <v>177.55</v>
      </c>
      <c r="G78" s="25" t="n">
        <f aca="false">(B78-B77)/B77</f>
        <v>-0.0161943295526726</v>
      </c>
      <c r="H78" s="25" t="n">
        <f aca="false">(C78-C77)/C77</f>
        <v>0.00593118947441142</v>
      </c>
      <c r="I78" s="25" t="n">
        <f aca="false">(D78-D77)/D77</f>
        <v>0.000382948665008654</v>
      </c>
      <c r="J78" s="25" t="n">
        <f aca="false">(E78-E77)/E77</f>
        <v>-0.0126786409386643</v>
      </c>
      <c r="L78" s="24" t="n">
        <f aca="false">MAX($B$2:B78)</f>
        <v>135.3569</v>
      </c>
      <c r="M78" s="25" t="n">
        <f aca="false">(B78-L78)/L78</f>
        <v>-0.0680041283451379</v>
      </c>
    </row>
    <row r="79" customFormat="false" ht="15" hidden="false" customHeight="false" outlineLevel="0" collapsed="false">
      <c r="A79" s="22" t="n">
        <v>45490</v>
      </c>
      <c r="B79" s="23" t="n">
        <v>117.795845</v>
      </c>
      <c r="C79" s="23" t="n">
        <v>545.479</v>
      </c>
      <c r="D79" s="23" t="n">
        <v>477.29466</v>
      </c>
      <c r="E79" s="23" t="n">
        <v>159.43</v>
      </c>
      <c r="G79" s="25" t="n">
        <f aca="false">(B79-B78)/B78</f>
        <v>-0.0662393163070679</v>
      </c>
      <c r="H79" s="25" t="n">
        <f aca="false">(C79-C78)/C78</f>
        <v>-0.0140211410681878</v>
      </c>
      <c r="I79" s="25" t="n">
        <f aca="false">(D79-D78)/D78</f>
        <v>-0.0293548779562895</v>
      </c>
      <c r="J79" s="25" t="n">
        <f aca="false">(E79-E78)/E78</f>
        <v>-0.102055758941143</v>
      </c>
      <c r="L79" s="24" t="n">
        <f aca="false">MAX($B$2:B79)</f>
        <v>135.3569</v>
      </c>
      <c r="M79" s="25" t="n">
        <f aca="false">(B79-L79)/L79</f>
        <v>-0.129738897684566</v>
      </c>
    </row>
    <row r="80" customFormat="false" ht="15" hidden="false" customHeight="false" outlineLevel="0" collapsed="false">
      <c r="A80" s="22" t="n">
        <v>45491</v>
      </c>
      <c r="B80" s="23" t="n">
        <v>120.890743</v>
      </c>
      <c r="C80" s="23" t="n">
        <v>541.287</v>
      </c>
      <c r="D80" s="23" t="n">
        <v>475.03584</v>
      </c>
      <c r="E80" s="23" t="n">
        <v>155.77</v>
      </c>
      <c r="G80" s="25" t="n">
        <f aca="false">(B80-B79)/B79</f>
        <v>0.0262734054838692</v>
      </c>
      <c r="H80" s="25" t="n">
        <f aca="false">(C80-C79)/C79</f>
        <v>-0.00768498878966928</v>
      </c>
      <c r="I80" s="25" t="n">
        <f aca="false">(D80-D79)/D79</f>
        <v>-0.00473254823341207</v>
      </c>
      <c r="J80" s="25" t="n">
        <f aca="false">(E80-E79)/E79</f>
        <v>-0.0229567835413661</v>
      </c>
      <c r="L80" s="24" t="n">
        <f aca="false">MAX($B$2:B80)</f>
        <v>135.3569</v>
      </c>
      <c r="M80" s="25" t="n">
        <f aca="false">(B80-L80)/L80</f>
        <v>-0.106874174866593</v>
      </c>
    </row>
    <row r="81" customFormat="false" ht="15" hidden="false" customHeight="false" outlineLevel="0" collapsed="false">
      <c r="A81" s="22" t="n">
        <v>45492</v>
      </c>
      <c r="B81" s="23" t="n">
        <v>117.735943</v>
      </c>
      <c r="C81" s="23" t="n">
        <v>537.692</v>
      </c>
      <c r="D81" s="23" t="n">
        <v>470.82532</v>
      </c>
      <c r="E81" s="23" t="n">
        <v>151.58</v>
      </c>
      <c r="G81" s="25" t="n">
        <f aca="false">(B81-B80)/B80</f>
        <v>-0.0260962909294055</v>
      </c>
      <c r="H81" s="25" t="n">
        <f aca="false">(C81-C80)/C80</f>
        <v>-0.0066415783124295</v>
      </c>
      <c r="I81" s="25" t="n">
        <f aca="false">(D81-D80)/D80</f>
        <v>-0.00886358385085224</v>
      </c>
      <c r="J81" s="25" t="n">
        <f aca="false">(E81-E80)/E80</f>
        <v>-0.0268986325993452</v>
      </c>
      <c r="L81" s="24" t="n">
        <f aca="false">MAX($B$2:B81)</f>
        <v>135.3569</v>
      </c>
      <c r="M81" s="25" t="n">
        <f aca="false">(B81-L81)/L81</f>
        <v>-0.13018144623584</v>
      </c>
    </row>
    <row r="82" customFormat="false" ht="15" hidden="false" customHeight="false" outlineLevel="0" collapsed="false">
      <c r="A82" s="22" t="n">
        <v>45495</v>
      </c>
      <c r="B82" s="23" t="n">
        <v>123.336712</v>
      </c>
      <c r="C82" s="23" t="n">
        <v>543.236</v>
      </c>
      <c r="D82" s="23" t="n">
        <v>477.839551</v>
      </c>
      <c r="E82" s="23" t="n">
        <v>155.87</v>
      </c>
      <c r="G82" s="25" t="n">
        <f aca="false">(B82-B81)/B81</f>
        <v>0.0475705961772438</v>
      </c>
      <c r="H82" s="25" t="n">
        <f aca="false">(C82-C81)/C81</f>
        <v>0.0103107355140117</v>
      </c>
      <c r="I82" s="25" t="n">
        <f aca="false">(D82-D81)/D81</f>
        <v>0.0148977353214564</v>
      </c>
      <c r="J82" s="25" t="n">
        <f aca="false">(E82-E81)/E81</f>
        <v>0.0283018867924528</v>
      </c>
      <c r="L82" s="24" t="n">
        <f aca="false">MAX($B$2:B82)</f>
        <v>135.3569</v>
      </c>
      <c r="M82" s="25" t="n">
        <f aca="false">(B82-L82)/L82</f>
        <v>-0.088803659067251</v>
      </c>
    </row>
    <row r="83" customFormat="false" ht="15" hidden="false" customHeight="false" outlineLevel="0" collapsed="false">
      <c r="A83" s="22" t="n">
        <v>45496</v>
      </c>
      <c r="B83" s="23" t="n">
        <v>122.388275</v>
      </c>
      <c r="C83" s="23" t="n">
        <v>542.384</v>
      </c>
      <c r="D83" s="23" t="n">
        <v>476.155343</v>
      </c>
      <c r="E83" s="23" t="n">
        <v>154</v>
      </c>
      <c r="G83" s="25" t="n">
        <f aca="false">(B83-B82)/B82</f>
        <v>-0.0076898190702539</v>
      </c>
      <c r="H83" s="25" t="n">
        <f aca="false">(C83-C82)/C82</f>
        <v>-0.00156837912067679</v>
      </c>
      <c r="I83" s="25" t="n">
        <f aca="false">(D83-D82)/D82</f>
        <v>-0.00352463080227521</v>
      </c>
      <c r="J83" s="25" t="n">
        <f aca="false">(E83-E82)/E82</f>
        <v>-0.0119971771347918</v>
      </c>
      <c r="L83" s="24" t="n">
        <f aca="false">MAX($B$2:B83)</f>
        <v>135.3569</v>
      </c>
      <c r="M83" s="25" t="n">
        <f aca="false">(B83-L83)/L83</f>
        <v>-0.0958105940665013</v>
      </c>
    </row>
    <row r="84" customFormat="false" ht="15" hidden="false" customHeight="false" outlineLevel="0" collapsed="false">
      <c r="A84" s="22" t="n">
        <v>45497</v>
      </c>
      <c r="B84" s="23" t="n">
        <v>114.061999</v>
      </c>
      <c r="C84" s="23" t="n">
        <v>530.092</v>
      </c>
      <c r="D84" s="23" t="n">
        <v>459.075492</v>
      </c>
      <c r="E84" s="23" t="n">
        <v>144.63</v>
      </c>
      <c r="G84" s="25" t="n">
        <f aca="false">(B84-B83)/B83</f>
        <v>-0.0680316476394491</v>
      </c>
      <c r="H84" s="25" t="n">
        <f aca="false">(C84-C83)/C83</f>
        <v>-0.0226629104103366</v>
      </c>
      <c r="I84" s="25" t="n">
        <f aca="false">(D84-D83)/D83</f>
        <v>-0.0358703336024521</v>
      </c>
      <c r="J84" s="25" t="n">
        <f aca="false">(E84-E83)/E83</f>
        <v>-0.0608441558441559</v>
      </c>
      <c r="L84" s="24" t="n">
        <f aca="false">MAX($B$2:B84)</f>
        <v>135.3569</v>
      </c>
      <c r="M84" s="25" t="n">
        <f aca="false">(B84-L84)/L84</f>
        <v>-0.157324089130292</v>
      </c>
    </row>
    <row r="85" customFormat="false" ht="15" hidden="false" customHeight="false" outlineLevel="0" collapsed="false">
      <c r="A85" s="22" t="n">
        <v>45498</v>
      </c>
      <c r="B85" s="23" t="n">
        <v>112.095241</v>
      </c>
      <c r="C85" s="23" t="n">
        <v>527.33</v>
      </c>
      <c r="D85" s="23" t="n">
        <v>454.012961</v>
      </c>
      <c r="E85" s="23" t="n">
        <v>138.32</v>
      </c>
      <c r="G85" s="25" t="n">
        <f aca="false">(B85-B84)/B84</f>
        <v>-0.0172428855994361</v>
      </c>
      <c r="H85" s="25" t="n">
        <f aca="false">(C85-C84)/C84</f>
        <v>-0.0052104163050941</v>
      </c>
      <c r="I85" s="25" t="n">
        <f aca="false">(D85-D84)/D84</f>
        <v>-0.011027665576188</v>
      </c>
      <c r="J85" s="25" t="n">
        <f aca="false">(E85-E84)/E84</f>
        <v>-0.0436285694530872</v>
      </c>
      <c r="L85" s="24" t="n">
        <f aca="false">MAX($B$2:B85)</f>
        <v>135.3569</v>
      </c>
      <c r="M85" s="25" t="n">
        <f aca="false">(B85-L85)/L85</f>
        <v>-0.171854253458819</v>
      </c>
    </row>
    <row r="86" customFormat="false" ht="15" hidden="false" customHeight="false" outlineLevel="0" collapsed="false">
      <c r="A86" s="22" t="n">
        <v>45499</v>
      </c>
      <c r="B86" s="23" t="n">
        <v>112.873957</v>
      </c>
      <c r="C86" s="23" t="n">
        <v>533.236</v>
      </c>
      <c r="D86" s="23" t="n">
        <v>458.669301</v>
      </c>
      <c r="E86" s="23" t="n">
        <v>139.99</v>
      </c>
      <c r="G86" s="25" t="n">
        <f aca="false">(B86-B85)/B85</f>
        <v>0.00694691400859741</v>
      </c>
      <c r="H86" s="25" t="n">
        <f aca="false">(C86-C85)/C85</f>
        <v>0.0111998179508087</v>
      </c>
      <c r="I86" s="25" t="n">
        <f aca="false">(D86-D85)/D85</f>
        <v>0.0102559627146856</v>
      </c>
      <c r="J86" s="25" t="n">
        <f aca="false">(E86-E85)/E85</f>
        <v>0.0120734528629267</v>
      </c>
      <c r="L86" s="24" t="n">
        <f aca="false">MAX($B$2:B86)</f>
        <v>135.3569</v>
      </c>
      <c r="M86" s="25" t="n">
        <f aca="false">(B86-L86)/L86</f>
        <v>-0.166101196171012</v>
      </c>
    </row>
    <row r="87" customFormat="false" ht="15" hidden="false" customHeight="false" outlineLevel="0" collapsed="false">
      <c r="A87" s="22" t="n">
        <v>45502</v>
      </c>
      <c r="B87" s="23" t="n">
        <v>111.406376</v>
      </c>
      <c r="C87" s="23" t="n">
        <v>533.549</v>
      </c>
      <c r="D87" s="23" t="n">
        <v>459.590661</v>
      </c>
      <c r="E87" s="23" t="n">
        <v>139.75</v>
      </c>
      <c r="G87" s="25" t="n">
        <f aca="false">(B87-B86)/B86</f>
        <v>-0.0130019451696906</v>
      </c>
      <c r="H87" s="25" t="n">
        <f aca="false">(C87-C86)/C86</f>
        <v>0.000586982124237651</v>
      </c>
      <c r="I87" s="25" t="n">
        <f aca="false">(D87-D86)/D86</f>
        <v>0.00200876753249286</v>
      </c>
      <c r="J87" s="25" t="n">
        <f aca="false">(E87-E86)/E86</f>
        <v>-0.00171440817201235</v>
      </c>
      <c r="L87" s="24" t="n">
        <f aca="false">MAX($B$2:B87)</f>
        <v>135.3569</v>
      </c>
      <c r="M87" s="25" t="n">
        <f aca="false">(B87-L87)/L87</f>
        <v>-0.176943502695467</v>
      </c>
    </row>
    <row r="88" customFormat="false" ht="15" hidden="false" customHeight="false" outlineLevel="0" collapsed="false">
      <c r="A88" s="22" t="n">
        <v>45503</v>
      </c>
      <c r="B88" s="23" t="n">
        <v>103.55931</v>
      </c>
      <c r="C88" s="23" t="n">
        <v>530.846</v>
      </c>
      <c r="D88" s="23" t="n">
        <v>453.279835</v>
      </c>
      <c r="E88" s="23" t="n">
        <v>138.44</v>
      </c>
      <c r="G88" s="25" t="n">
        <f aca="false">(B88-B87)/B87</f>
        <v>-0.0704364173914067</v>
      </c>
      <c r="H88" s="25" t="n">
        <f aca="false">(C88-C87)/C87</f>
        <v>-0.00506607640535354</v>
      </c>
      <c r="I88" s="25" t="n">
        <f aca="false">(D88-D87)/D87</f>
        <v>-0.0137314060870354</v>
      </c>
      <c r="J88" s="25" t="n">
        <f aca="false">(E88-E87)/E87</f>
        <v>-0.00937388193202148</v>
      </c>
      <c r="L88" s="24" t="n">
        <f aca="false">MAX($B$2:B88)</f>
        <v>135.3569</v>
      </c>
      <c r="M88" s="25" t="n">
        <f aca="false">(B88-L88)/L88</f>
        <v>-0.234916653676318</v>
      </c>
    </row>
    <row r="89" customFormat="false" ht="15" hidden="false" customHeight="false" outlineLevel="0" collapsed="false">
      <c r="A89" s="22" t="n">
        <v>45504</v>
      </c>
      <c r="B89" s="23" t="n">
        <v>116.827441</v>
      </c>
      <c r="C89" s="23" t="n">
        <v>539.475</v>
      </c>
      <c r="D89" s="23" t="n">
        <v>466.694057</v>
      </c>
      <c r="E89" s="23" t="n">
        <v>144.48</v>
      </c>
      <c r="G89" s="25" t="n">
        <f aca="false">(B89-B88)/B88</f>
        <v>0.128121083464152</v>
      </c>
      <c r="H89" s="25" t="n">
        <f aca="false">(C89-C88)/C88</f>
        <v>0.0162551851196016</v>
      </c>
      <c r="I89" s="25" t="n">
        <f aca="false">(D89-D88)/D88</f>
        <v>0.0295936879698167</v>
      </c>
      <c r="J89" s="25" t="n">
        <f aca="false">(E89-E88)/E88</f>
        <v>0.0436290089569488</v>
      </c>
      <c r="L89" s="24" t="n">
        <f aca="false">MAX($B$2:B89)</f>
        <v>135.3569</v>
      </c>
      <c r="M89" s="25" t="n">
        <f aca="false">(B89-L89)/L89</f>
        <v>-0.136893346404949</v>
      </c>
    </row>
    <row r="90" customFormat="false" ht="15" hidden="false" customHeight="false" outlineLevel="0" collapsed="false">
      <c r="A90" s="22" t="n">
        <v>45505</v>
      </c>
      <c r="B90" s="23" t="n">
        <v>109.030292</v>
      </c>
      <c r="C90" s="23" t="n">
        <v>531.835</v>
      </c>
      <c r="D90" s="23" t="n">
        <v>455.390048</v>
      </c>
      <c r="E90" s="23" t="n">
        <v>132.54</v>
      </c>
      <c r="G90" s="25" t="n">
        <f aca="false">(B90-B89)/B89</f>
        <v>-0.0667407325989447</v>
      </c>
      <c r="H90" s="25" t="n">
        <f aca="false">(C90-C89)/C89</f>
        <v>-0.014161916678252</v>
      </c>
      <c r="I90" s="25" t="n">
        <f aca="false">(D90-D89)/D89</f>
        <v>-0.0242214547848849</v>
      </c>
      <c r="J90" s="25" t="n">
        <f aca="false">(E90-E89)/E89</f>
        <v>-0.082641196013289</v>
      </c>
      <c r="L90" s="24" t="n">
        <f aca="false">MAX($B$2:B90)</f>
        <v>135.3569</v>
      </c>
      <c r="M90" s="25" t="n">
        <f aca="false">(B90-L90)/L90</f>
        <v>-0.194497716776906</v>
      </c>
    </row>
    <row r="91" customFormat="false" ht="15" hidden="false" customHeight="false" outlineLevel="0" collapsed="false">
      <c r="A91" s="22" t="n">
        <v>45506</v>
      </c>
      <c r="B91" s="23" t="n">
        <v>107.093485</v>
      </c>
      <c r="C91" s="23" t="n">
        <v>521.933</v>
      </c>
      <c r="D91" s="23" t="n">
        <v>444.581395</v>
      </c>
      <c r="E91" s="23" t="n">
        <v>132.5</v>
      </c>
      <c r="G91" s="25" t="n">
        <f aca="false">(B91-B90)/B90</f>
        <v>-0.0177639348154731</v>
      </c>
      <c r="H91" s="25" t="n">
        <f aca="false">(C91-C90)/C90</f>
        <v>-0.0186185565071875</v>
      </c>
      <c r="I91" s="25" t="n">
        <f aca="false">(D91-D90)/D90</f>
        <v>-0.0237349345851317</v>
      </c>
      <c r="J91" s="25" t="n">
        <f aca="false">(E91-E90)/E90</f>
        <v>-0.000301795684321654</v>
      </c>
      <c r="L91" s="24" t="n">
        <f aca="false">MAX($B$2:B91)</f>
        <v>135.3569</v>
      </c>
      <c r="M91" s="25" t="n">
        <f aca="false">(B91-L91)/L91</f>
        <v>-0.208806606829796</v>
      </c>
    </row>
    <row r="92" customFormat="false" ht="15" hidden="false" customHeight="false" outlineLevel="0" collapsed="false">
      <c r="A92" s="22" t="n">
        <v>45509</v>
      </c>
      <c r="B92" s="23" t="n">
        <v>100.284707</v>
      </c>
      <c r="C92" s="23" t="n">
        <v>506.733</v>
      </c>
      <c r="D92" s="23" t="n">
        <v>431.325687</v>
      </c>
      <c r="E92" s="23" t="n">
        <v>134.82</v>
      </c>
      <c r="G92" s="25" t="n">
        <f aca="false">(B92-B91)/B91</f>
        <v>-0.0635778917830529</v>
      </c>
      <c r="H92" s="25" t="n">
        <f aca="false">(C92-C91)/C91</f>
        <v>-0.029122511893289</v>
      </c>
      <c r="I92" s="25" t="n">
        <f aca="false">(D92-D91)/D91</f>
        <v>-0.0298161554871183</v>
      </c>
      <c r="J92" s="25" t="n">
        <f aca="false">(E92-E91)/E91</f>
        <v>0.0175094339622641</v>
      </c>
      <c r="L92" s="24" t="n">
        <f aca="false">MAX($B$2:B92)</f>
        <v>135.3569</v>
      </c>
      <c r="M92" s="25" t="n">
        <f aca="false">(B92-L92)/L92</f>
        <v>-0.259109014760238</v>
      </c>
    </row>
    <row r="93" customFormat="false" ht="15" hidden="false" customHeight="false" outlineLevel="0" collapsed="false">
      <c r="A93" s="22" t="n">
        <v>45510</v>
      </c>
      <c r="B93" s="23" t="n">
        <v>104.078454</v>
      </c>
      <c r="C93" s="23" t="n">
        <v>511.404</v>
      </c>
      <c r="D93" s="23" t="n">
        <v>435.447043</v>
      </c>
      <c r="E93" s="23" t="n">
        <v>130.18</v>
      </c>
      <c r="G93" s="25" t="n">
        <f aca="false">(B93-B92)/B92</f>
        <v>0.0378297660080913</v>
      </c>
      <c r="H93" s="25" t="n">
        <f aca="false">(C93-C92)/C92</f>
        <v>0.00921787213384562</v>
      </c>
      <c r="I93" s="25" t="n">
        <f aca="false">(D93-D92)/D92</f>
        <v>0.00955509055967722</v>
      </c>
      <c r="J93" s="25" t="n">
        <f aca="false">(E93-E92)/E92</f>
        <v>-0.034416258715324</v>
      </c>
      <c r="L93" s="24" t="n">
        <f aca="false">MAX($B$2:B93)</f>
        <v>135.3569</v>
      </c>
      <c r="M93" s="25" t="n">
        <f aca="false">(B93-L93)/L93</f>
        <v>-0.231081282151113</v>
      </c>
    </row>
    <row r="94" customFormat="false" ht="15" hidden="false" customHeight="false" outlineLevel="0" collapsed="false">
      <c r="A94" s="22" t="n">
        <v>45511</v>
      </c>
      <c r="B94" s="23" t="n">
        <v>98.747241</v>
      </c>
      <c r="C94" s="23" t="n">
        <v>507.986</v>
      </c>
      <c r="D94" s="23" t="n">
        <v>430.731261</v>
      </c>
      <c r="E94" s="23" t="n">
        <v>128.67</v>
      </c>
      <c r="G94" s="25" t="n">
        <f aca="false">(B94-B93)/B93</f>
        <v>-0.0512230225864038</v>
      </c>
      <c r="H94" s="25" t="n">
        <f aca="false">(C94-C93)/C93</f>
        <v>-0.00668356133311434</v>
      </c>
      <c r="I94" s="25" t="n">
        <f aca="false">(D94-D93)/D93</f>
        <v>-0.0108297485901173</v>
      </c>
      <c r="J94" s="25" t="n">
        <f aca="false">(E94-E93)/E93</f>
        <v>-0.0115993240129054</v>
      </c>
      <c r="L94" s="24" t="n">
        <f aca="false">MAX($B$2:B94)</f>
        <v>135.3569</v>
      </c>
      <c r="M94" s="25" t="n">
        <f aca="false">(B94-L94)/L94</f>
        <v>-0.270467623002595</v>
      </c>
    </row>
    <row r="95" customFormat="false" ht="15" hidden="false" customHeight="false" outlineLevel="0" collapsed="false">
      <c r="A95" s="22" t="n">
        <v>45512</v>
      </c>
      <c r="B95" s="23" t="n">
        <v>104.797269</v>
      </c>
      <c r="C95" s="23" t="n">
        <v>519.73</v>
      </c>
      <c r="D95" s="23" t="n">
        <v>443.907712</v>
      </c>
      <c r="E95" s="23" t="n">
        <v>136.32</v>
      </c>
      <c r="G95" s="25" t="n">
        <f aca="false">(B95-B94)/B94</f>
        <v>0.0612678181054192</v>
      </c>
      <c r="H95" s="25" t="n">
        <f aca="false">(C95-C94)/C94</f>
        <v>0.0231187473670535</v>
      </c>
      <c r="I95" s="25" t="n">
        <f aca="false">(D95-D94)/D94</f>
        <v>0.0305908862277818</v>
      </c>
      <c r="J95" s="25" t="n">
        <f aca="false">(E95-E94)/E94</f>
        <v>0.0594544182793192</v>
      </c>
      <c r="L95" s="24" t="n">
        <f aca="false">MAX($B$2:B95)</f>
        <v>135.3569</v>
      </c>
      <c r="M95" s="25" t="n">
        <f aca="false">(B95-L95)/L95</f>
        <v>-0.225770766026704</v>
      </c>
    </row>
    <row r="96" customFormat="false" ht="15" hidden="false" customHeight="false" outlineLevel="0" collapsed="false">
      <c r="A96" s="22" t="n">
        <v>45513</v>
      </c>
      <c r="B96" s="23" t="n">
        <v>104.577631</v>
      </c>
      <c r="C96" s="23" t="n">
        <v>522.021</v>
      </c>
      <c r="D96" s="23" t="n">
        <v>446.225975</v>
      </c>
      <c r="E96" s="23" t="n">
        <v>134.27</v>
      </c>
      <c r="G96" s="25" t="n">
        <f aca="false">(B96-B95)/B95</f>
        <v>-0.002095837058502</v>
      </c>
      <c r="H96" s="25" t="n">
        <f aca="false">(C96-C95)/C95</f>
        <v>0.00440805803013091</v>
      </c>
      <c r="I96" s="25" t="n">
        <f aca="false">(D96-D95)/D95</f>
        <v>0.00522239856918729</v>
      </c>
      <c r="J96" s="25" t="n">
        <f aca="false">(E96-E95)/E95</f>
        <v>-0.015038145539906</v>
      </c>
      <c r="L96" s="24" t="n">
        <f aca="false">MAX($B$2:B96)</f>
        <v>135.3569</v>
      </c>
      <c r="M96" s="25" t="n">
        <f aca="false">(B96-L96)/L96</f>
        <v>-0.227393424347041</v>
      </c>
    </row>
    <row r="97" customFormat="false" ht="15" hidden="false" customHeight="false" outlineLevel="0" collapsed="false">
      <c r="A97" s="22" t="n">
        <v>45516</v>
      </c>
      <c r="B97" s="23" t="n">
        <v>108.840605</v>
      </c>
      <c r="C97" s="23" t="n">
        <v>522.296</v>
      </c>
      <c r="D97" s="23" t="n">
        <v>447.186964</v>
      </c>
      <c r="E97" s="23" t="n">
        <v>136.77</v>
      </c>
      <c r="G97" s="25" t="n">
        <f aca="false">(B97-B96)/B96</f>
        <v>0.0407637269962637</v>
      </c>
      <c r="H97" s="25" t="n">
        <f aca="false">(C97-C96)/C96</f>
        <v>0.000526798730319453</v>
      </c>
      <c r="I97" s="25" t="n">
        <f aca="false">(D97-D96)/D96</f>
        <v>0.00215359269482236</v>
      </c>
      <c r="J97" s="25" t="n">
        <f aca="false">(E97-E96)/E96</f>
        <v>0.0186192001191629</v>
      </c>
      <c r="L97" s="24" t="n">
        <f aca="false">MAX($B$2:B97)</f>
        <v>135.3569</v>
      </c>
      <c r="M97" s="25" t="n">
        <f aca="false">(B97-L97)/L97</f>
        <v>-0.195899100821606</v>
      </c>
    </row>
    <row r="98" customFormat="false" ht="15" hidden="false" customHeight="false" outlineLevel="0" collapsed="false">
      <c r="A98" s="22" t="n">
        <v>45517</v>
      </c>
      <c r="B98" s="23" t="n">
        <v>115.948889</v>
      </c>
      <c r="C98" s="23" t="n">
        <v>530.885</v>
      </c>
      <c r="D98" s="23" t="n">
        <v>458.282923</v>
      </c>
      <c r="E98" s="23" t="n">
        <v>141.13</v>
      </c>
      <c r="G98" s="25" t="n">
        <f aca="false">(B98-B97)/B97</f>
        <v>0.0653091187797054</v>
      </c>
      <c r="H98" s="25" t="n">
        <f aca="false">(C98-C97)/C97</f>
        <v>0.0164446980256405</v>
      </c>
      <c r="I98" s="25" t="n">
        <f aca="false">(D98-D97)/D97</f>
        <v>0.0248127961976995</v>
      </c>
      <c r="J98" s="25" t="n">
        <f aca="false">(E98-E97)/E97</f>
        <v>0.0318783358923739</v>
      </c>
      <c r="L98" s="24" t="n">
        <f aca="false">MAX($B$2:B98)</f>
        <v>135.3569</v>
      </c>
      <c r="M98" s="25" t="n">
        <f aca="false">(B98-L98)/L98</f>
        <v>-0.143383979686296</v>
      </c>
    </row>
    <row r="99" customFormat="false" ht="15" hidden="false" customHeight="false" outlineLevel="0" collapsed="false">
      <c r="A99" s="22" t="n">
        <v>45518</v>
      </c>
      <c r="B99" s="23" t="n">
        <v>117.885696</v>
      </c>
      <c r="C99" s="23" t="n">
        <v>532.56</v>
      </c>
      <c r="D99" s="23" t="n">
        <v>458.43153</v>
      </c>
      <c r="E99" s="23" t="n">
        <v>140.75</v>
      </c>
      <c r="G99" s="25" t="n">
        <f aca="false">(B99-B98)/B98</f>
        <v>0.0167039720406463</v>
      </c>
      <c r="H99" s="25" t="n">
        <f aca="false">(C99-C98)/C98</f>
        <v>0.00315510892189449</v>
      </c>
      <c r="I99" s="25" t="n">
        <f aca="false">(D99-D98)/D98</f>
        <v>0.000324269119667867</v>
      </c>
      <c r="J99" s="25" t="n">
        <f aca="false">(E99-E98)/E98</f>
        <v>-0.00269255296535106</v>
      </c>
      <c r="L99" s="24" t="n">
        <f aca="false">MAX($B$2:B99)</f>
        <v>135.3569</v>
      </c>
      <c r="M99" s="25" t="n">
        <f aca="false">(B99-L99)/L99</f>
        <v>-0.129075089633406</v>
      </c>
    </row>
    <row r="100" customFormat="false" ht="15" hidden="false" customHeight="false" outlineLevel="0" collapsed="false">
      <c r="A100" s="22" t="n">
        <v>45519</v>
      </c>
      <c r="B100" s="23" t="n">
        <v>122.657831</v>
      </c>
      <c r="C100" s="23" t="n">
        <v>541.688</v>
      </c>
      <c r="D100" s="23" t="n">
        <v>470.012937</v>
      </c>
      <c r="E100" s="23" t="n">
        <v>147.36</v>
      </c>
      <c r="G100" s="25" t="n">
        <f aca="false">(B100-B99)/B99</f>
        <v>0.0404810351206647</v>
      </c>
      <c r="H100" s="25" t="n">
        <f aca="false">(C100-C99)/C99</f>
        <v>0.0171398527865406</v>
      </c>
      <c r="I100" s="25" t="n">
        <f aca="false">(D100-D99)/D99</f>
        <v>0.0252631118108303</v>
      </c>
      <c r="J100" s="25" t="n">
        <f aca="false">(E100-E99)/E99</f>
        <v>0.0469626998223802</v>
      </c>
      <c r="L100" s="24" t="n">
        <f aca="false">MAX($B$2:B100)</f>
        <v>135.3569</v>
      </c>
      <c r="M100" s="25" t="n">
        <f aca="false">(B100-L100)/L100</f>
        <v>-0.0938191477493943</v>
      </c>
    </row>
    <row r="101" customFormat="false" ht="15" hidden="false" customHeight="false" outlineLevel="0" collapsed="false">
      <c r="A101" s="22" t="n">
        <v>45520</v>
      </c>
      <c r="B101" s="23" t="n">
        <v>124.375001</v>
      </c>
      <c r="C101" s="23" t="n">
        <v>542.903</v>
      </c>
      <c r="D101" s="23" t="n">
        <v>470.617271</v>
      </c>
      <c r="E101" s="23" t="n">
        <v>148.56</v>
      </c>
      <c r="G101" s="25" t="n">
        <f aca="false">(B101-B100)/B100</f>
        <v>0.0139996768734643</v>
      </c>
      <c r="H101" s="25" t="n">
        <f aca="false">(C101-C100)/C100</f>
        <v>0.0022429885838343</v>
      </c>
      <c r="I101" s="25" t="n">
        <f aca="false">(D101-D100)/D100</f>
        <v>0.00128578162945331</v>
      </c>
      <c r="J101" s="25" t="n">
        <f aca="false">(E101-E100)/E100</f>
        <v>0.00814332247556996</v>
      </c>
      <c r="L101" s="24" t="n">
        <f aca="false">MAX($B$2:B101)</f>
        <v>135.3569</v>
      </c>
      <c r="M101" s="25" t="n">
        <f aca="false">(B101-L101)/L101</f>
        <v>-0.0811329086289653</v>
      </c>
    </row>
    <row r="102" customFormat="false" ht="15" hidden="false" customHeight="false" outlineLevel="0" collapsed="false">
      <c r="A102" s="22" t="n">
        <v>45523</v>
      </c>
      <c r="B102" s="23" t="n">
        <v>129.786082</v>
      </c>
      <c r="C102" s="23" t="n">
        <v>548.094</v>
      </c>
      <c r="D102" s="23" t="n">
        <v>476.799305</v>
      </c>
      <c r="E102" s="23" t="n">
        <v>155.28</v>
      </c>
      <c r="G102" s="25" t="n">
        <f aca="false">(B102-B101)/B101</f>
        <v>0.0435061785446739</v>
      </c>
      <c r="H102" s="25" t="n">
        <f aca="false">(C102-C101)/C101</f>
        <v>0.0095615607207918</v>
      </c>
      <c r="I102" s="25" t="n">
        <f aca="false">(D102-D101)/D101</f>
        <v>0.0131360117465812</v>
      </c>
      <c r="J102" s="25" t="n">
        <f aca="false">(E102-E101)/E101</f>
        <v>0.0452342487883683</v>
      </c>
      <c r="L102" s="24" t="n">
        <f aca="false">MAX($B$2:B102)</f>
        <v>135.3569</v>
      </c>
      <c r="M102" s="25" t="n">
        <f aca="false">(B102-L102)/L102</f>
        <v>-0.0411565128929519</v>
      </c>
    </row>
    <row r="103" customFormat="false" ht="15" hidden="false" customHeight="false" outlineLevel="0" collapsed="false">
      <c r="A103" s="22" t="n">
        <v>45524</v>
      </c>
      <c r="B103" s="23" t="n">
        <v>127.040607</v>
      </c>
      <c r="C103" s="23" t="n">
        <v>547.202</v>
      </c>
      <c r="D103" s="23" t="n">
        <v>475.798687</v>
      </c>
      <c r="E103" s="23" t="n">
        <v>156.4</v>
      </c>
      <c r="G103" s="25" t="n">
        <f aca="false">(B103-B102)/B102</f>
        <v>-0.0211538476059397</v>
      </c>
      <c r="H103" s="25" t="n">
        <f aca="false">(C103-C102)/C102</f>
        <v>-0.00162745806376288</v>
      </c>
      <c r="I103" s="25" t="n">
        <f aca="false">(D103-D102)/D102</f>
        <v>-0.0020986146361938</v>
      </c>
      <c r="J103" s="25" t="n">
        <f aca="false">(E103-E102)/E102</f>
        <v>0.00721277691911389</v>
      </c>
      <c r="L103" s="24" t="n">
        <f aca="false">MAX($B$2:B103)</f>
        <v>135.3569</v>
      </c>
      <c r="M103" s="25" t="n">
        <f aca="false">(B103-L103)/L103</f>
        <v>-0.0614397418971623</v>
      </c>
    </row>
    <row r="104" customFormat="false" ht="15" hidden="false" customHeight="false" outlineLevel="0" collapsed="false">
      <c r="A104" s="22" t="n">
        <v>45525</v>
      </c>
      <c r="B104" s="23" t="n">
        <v>128.28855</v>
      </c>
      <c r="C104" s="23" t="n">
        <v>549.083</v>
      </c>
      <c r="D104" s="23" t="n">
        <v>478.017879</v>
      </c>
      <c r="E104" s="23" t="n">
        <v>157.81</v>
      </c>
      <c r="G104" s="25" t="n">
        <f aca="false">(B104-B103)/B103</f>
        <v>0.00982318196889592</v>
      </c>
      <c r="H104" s="25" t="n">
        <f aca="false">(C104-C103)/C103</f>
        <v>0.00343748743608388</v>
      </c>
      <c r="I104" s="25" t="n">
        <f aca="false">(D104-D103)/D103</f>
        <v>0.00466414065577281</v>
      </c>
      <c r="J104" s="25" t="n">
        <f aca="false">(E104-E103)/E103</f>
        <v>0.00901534526854218</v>
      </c>
      <c r="L104" s="24" t="n">
        <f aca="false">MAX($B$2:B104)</f>
        <v>135.3569</v>
      </c>
      <c r="M104" s="25" t="n">
        <f aca="false">(B104-L104)/L104</f>
        <v>-0.0522200936930442</v>
      </c>
    </row>
    <row r="105" customFormat="false" ht="15" hidden="false" customHeight="false" outlineLevel="0" collapsed="false">
      <c r="A105" s="22" t="n">
        <v>45526</v>
      </c>
      <c r="B105" s="23" t="n">
        <v>123.536383</v>
      </c>
      <c r="C105" s="23" t="n">
        <v>544.773</v>
      </c>
      <c r="D105" s="23" t="n">
        <v>470.438943</v>
      </c>
      <c r="E105" s="23" t="n">
        <v>151.7</v>
      </c>
      <c r="G105" s="25" t="n">
        <f aca="false">(B105-B104)/B104</f>
        <v>-0.0370427992209748</v>
      </c>
      <c r="H105" s="25" t="n">
        <f aca="false">(C105-C104)/C104</f>
        <v>-0.00784945081162583</v>
      </c>
      <c r="I105" s="25" t="n">
        <f aca="false">(D105-D104)/D104</f>
        <v>-0.0158549216105785</v>
      </c>
      <c r="J105" s="25" t="n">
        <f aca="false">(E105-E104)/E104</f>
        <v>-0.0387174450288322</v>
      </c>
      <c r="L105" s="24" t="n">
        <f aca="false">MAX($B$2:B105)</f>
        <v>135.3569</v>
      </c>
      <c r="M105" s="25" t="n">
        <f aca="false">(B105-L105)/L105</f>
        <v>-0.087328514468047</v>
      </c>
    </row>
    <row r="106" customFormat="false" ht="15" hidden="false" customHeight="false" outlineLevel="0" collapsed="false">
      <c r="A106" s="22" t="n">
        <v>45527</v>
      </c>
      <c r="B106" s="23" t="n">
        <v>129.157119</v>
      </c>
      <c r="C106" s="23" t="n">
        <v>550.562</v>
      </c>
      <c r="D106" s="23" t="n">
        <v>475.541103</v>
      </c>
      <c r="E106" s="23" t="n">
        <v>154.98</v>
      </c>
      <c r="G106" s="25" t="n">
        <f aca="false">(B106-B105)/B105</f>
        <v>0.0454986285295401</v>
      </c>
      <c r="H106" s="25" t="n">
        <f aca="false">(C106-C105)/C105</f>
        <v>0.0106264444089556</v>
      </c>
      <c r="I106" s="25" t="n">
        <f aca="false">(D106-D105)/D105</f>
        <v>0.010845530702589</v>
      </c>
      <c r="J106" s="25" t="n">
        <f aca="false">(E106-E105)/E105</f>
        <v>0.0216216216216216</v>
      </c>
      <c r="L106" s="24" t="n">
        <f aca="false">MAX($B$2:B106)</f>
        <v>135.3569</v>
      </c>
      <c r="M106" s="25" t="n">
        <f aca="false">(B106-L106)/L106</f>
        <v>-0.0458032135783252</v>
      </c>
    </row>
    <row r="107" customFormat="false" ht="15" hidden="false" customHeight="false" outlineLevel="0" collapsed="false">
      <c r="A107" s="22" t="n">
        <v>45530</v>
      </c>
      <c r="B107" s="23" t="n">
        <v>126.251907</v>
      </c>
      <c r="C107" s="23" t="n">
        <v>549.249</v>
      </c>
      <c r="D107" s="23" t="n">
        <v>470.924391</v>
      </c>
      <c r="E107" s="23" t="n">
        <v>149.99</v>
      </c>
      <c r="G107" s="25" t="n">
        <f aca="false">(B107-B106)/B106</f>
        <v>-0.0224936265417936</v>
      </c>
      <c r="H107" s="25" t="n">
        <f aca="false">(C107-C106)/C106</f>
        <v>-0.0023848358586317</v>
      </c>
      <c r="I107" s="25" t="n">
        <f aca="false">(D107-D106)/D106</f>
        <v>-0.00970833429723531</v>
      </c>
      <c r="J107" s="25" t="n">
        <f aca="false">(E107-E106)/E106</f>
        <v>-0.0321977029294101</v>
      </c>
      <c r="L107" s="24" t="n">
        <f aca="false">MAX($B$2:B107)</f>
        <v>135.3569</v>
      </c>
      <c r="M107" s="25" t="n">
        <f aca="false">(B107-L107)/L107</f>
        <v>-0.0672665597394739</v>
      </c>
    </row>
    <row r="108" customFormat="false" ht="15" hidden="false" customHeight="false" outlineLevel="0" collapsed="false">
      <c r="A108" s="22" t="n">
        <v>45531</v>
      </c>
      <c r="B108" s="23" t="n">
        <v>128.088879</v>
      </c>
      <c r="C108" s="23" t="n">
        <v>550.003</v>
      </c>
      <c r="D108" s="23" t="n">
        <v>472.3312</v>
      </c>
      <c r="E108" s="23" t="n">
        <v>150.5</v>
      </c>
      <c r="G108" s="25" t="n">
        <f aca="false">(B108-B107)/B107</f>
        <v>0.014550053489489</v>
      </c>
      <c r="H108" s="25" t="n">
        <f aca="false">(C108-C107)/C107</f>
        <v>0.00137278356446715</v>
      </c>
      <c r="I108" s="25" t="n">
        <f aca="false">(D108-D107)/D107</f>
        <v>0.00298733517924751</v>
      </c>
      <c r="J108" s="25" t="n">
        <f aca="false">(E108-E107)/E107</f>
        <v>0.00340022668177872</v>
      </c>
      <c r="L108" s="24" t="n">
        <f aca="false">MAX($B$2:B108)</f>
        <v>135.3569</v>
      </c>
      <c r="M108" s="25" t="n">
        <f aca="false">(B108-L108)/L108</f>
        <v>-0.0536952382922482</v>
      </c>
    </row>
    <row r="109" customFormat="false" ht="15" hidden="false" customHeight="false" outlineLevel="0" collapsed="false">
      <c r="A109" s="22" t="n">
        <v>45532</v>
      </c>
      <c r="B109" s="23" t="n">
        <v>125.403306</v>
      </c>
      <c r="C109" s="23" t="n">
        <v>546.811</v>
      </c>
      <c r="D109" s="23" t="n">
        <v>466.971456</v>
      </c>
      <c r="E109" s="23" t="n">
        <v>146.36</v>
      </c>
      <c r="G109" s="25" t="n">
        <f aca="false">(B109-B108)/B108</f>
        <v>-0.0209664806263157</v>
      </c>
      <c r="H109" s="25" t="n">
        <f aca="false">(C109-C108)/C108</f>
        <v>-0.0058036047076107</v>
      </c>
      <c r="I109" s="25" t="n">
        <f aca="false">(D109-D108)/D108</f>
        <v>-0.0113474273984019</v>
      </c>
      <c r="J109" s="25" t="n">
        <f aca="false">(E109-E108)/E108</f>
        <v>-0.0275083056478404</v>
      </c>
      <c r="L109" s="24" t="n">
        <f aca="false">MAX($B$2:B109)</f>
        <v>135.3569</v>
      </c>
      <c r="M109" s="25" t="n">
        <f aca="false">(B109-L109)/L109</f>
        <v>-0.073535918745184</v>
      </c>
    </row>
    <row r="110" customFormat="false" ht="15" hidden="false" customHeight="false" outlineLevel="0" collapsed="false">
      <c r="A110" s="22" t="n">
        <v>45533</v>
      </c>
      <c r="B110" s="23" t="n">
        <v>117.396503</v>
      </c>
      <c r="C110" s="23" t="n">
        <v>546.86</v>
      </c>
      <c r="D110" s="23" t="n">
        <v>466.287865</v>
      </c>
      <c r="E110" s="23" t="n">
        <v>145.49</v>
      </c>
      <c r="G110" s="25" t="n">
        <f aca="false">(B110-B109)/B109</f>
        <v>-0.063848420391724</v>
      </c>
      <c r="H110" s="25" t="n">
        <f aca="false">(C110-C109)/C109</f>
        <v>8.96104869872372E-005</v>
      </c>
      <c r="I110" s="25" t="n">
        <f aca="false">(D110-D109)/D109</f>
        <v>-0.00146388176668335</v>
      </c>
      <c r="J110" s="25" t="n">
        <f aca="false">(E110-E109)/E109</f>
        <v>-0.00594424706203884</v>
      </c>
      <c r="L110" s="24" t="n">
        <f aca="false">MAX($B$2:B110)</f>
        <v>135.3569</v>
      </c>
      <c r="M110" s="25" t="n">
        <f aca="false">(B110-L110)/L110</f>
        <v>-0.132689186882974</v>
      </c>
    </row>
    <row r="111" customFormat="false" ht="15" hidden="false" customHeight="false" outlineLevel="0" collapsed="false">
      <c r="A111" s="22" t="n">
        <v>45534</v>
      </c>
      <c r="B111" s="23" t="n">
        <v>119.173574</v>
      </c>
      <c r="C111" s="23" t="n">
        <v>552.08</v>
      </c>
      <c r="D111" s="23" t="n">
        <v>471.845752</v>
      </c>
      <c r="E111" s="23" t="n">
        <v>148.56</v>
      </c>
      <c r="G111" s="25" t="n">
        <f aca="false">(B111-B110)/B110</f>
        <v>0.0151373418678409</v>
      </c>
      <c r="H111" s="25" t="n">
        <f aca="false">(C111-C110)/C110</f>
        <v>0.00954540467395682</v>
      </c>
      <c r="I111" s="25" t="n">
        <f aca="false">(D111-D110)/D110</f>
        <v>0.0119194330738159</v>
      </c>
      <c r="J111" s="25" t="n">
        <f aca="false">(E111-E110)/E110</f>
        <v>0.0211011066052649</v>
      </c>
      <c r="L111" s="24" t="n">
        <f aca="false">MAX($B$2:B111)</f>
        <v>135.3569</v>
      </c>
      <c r="M111" s="25" t="n">
        <f aca="false">(B111-L111)/L111</f>
        <v>-0.119560406599146</v>
      </c>
    </row>
    <row r="112" customFormat="false" ht="15" hidden="false" customHeight="false" outlineLevel="0" collapsed="false">
      <c r="A112" s="22" t="n">
        <v>45538</v>
      </c>
      <c r="B112" s="23" t="n">
        <v>107.822283</v>
      </c>
      <c r="C112" s="23" t="n">
        <v>540.719</v>
      </c>
      <c r="D112" s="23" t="n">
        <v>457.520076</v>
      </c>
      <c r="E112" s="23" t="n">
        <v>136.94</v>
      </c>
      <c r="G112" s="25" t="n">
        <f aca="false">(B112-B111)/B111</f>
        <v>-0.095250067770897</v>
      </c>
      <c r="H112" s="25" t="n">
        <f aca="false">(C112-C111)/C111</f>
        <v>-0.0205785393421243</v>
      </c>
      <c r="I112" s="25" t="n">
        <f aca="false">(D112-D111)/D111</f>
        <v>-0.0303609303236876</v>
      </c>
      <c r="J112" s="25" t="n">
        <f aca="false">(E112-E111)/E111</f>
        <v>-0.0782175551965536</v>
      </c>
      <c r="L112" s="24" t="n">
        <f aca="false">MAX($B$2:B112)</f>
        <v>135.3569</v>
      </c>
      <c r="M112" s="25" t="n">
        <f aca="false">(B112-L112)/L112</f>
        <v>-0.203422337538759</v>
      </c>
    </row>
    <row r="113" customFormat="false" ht="15" hidden="false" customHeight="false" outlineLevel="0" collapsed="false">
      <c r="A113" s="22" t="n">
        <v>45539</v>
      </c>
      <c r="B113" s="23" t="n">
        <v>106.035229</v>
      </c>
      <c r="C113" s="23" t="n">
        <v>539.612</v>
      </c>
      <c r="D113" s="23" t="n">
        <v>456.331223</v>
      </c>
      <c r="E113" s="23" t="n">
        <v>140.87</v>
      </c>
      <c r="G113" s="25" t="n">
        <f aca="false">(B113-B112)/B112</f>
        <v>-0.0165740693878648</v>
      </c>
      <c r="H113" s="25" t="n">
        <f aca="false">(C113-C112)/C112</f>
        <v>-0.00204727409245853</v>
      </c>
      <c r="I113" s="25" t="n">
        <f aca="false">(D113-D112)/D112</f>
        <v>-0.00259847176629686</v>
      </c>
      <c r="J113" s="25" t="n">
        <f aca="false">(E113-E112)/E112</f>
        <v>0.0286987001606544</v>
      </c>
      <c r="L113" s="24" t="n">
        <f aca="false">MAX($B$2:B113)</f>
        <v>135.3569</v>
      </c>
      <c r="M113" s="25" t="n">
        <f aca="false">(B113-L113)/L113</f>
        <v>-0.216624870989214</v>
      </c>
    </row>
    <row r="114" customFormat="false" ht="15" hidden="false" customHeight="false" outlineLevel="0" collapsed="false">
      <c r="A114" s="22" t="n">
        <v>45540</v>
      </c>
      <c r="B114" s="23" t="n">
        <v>107.033583</v>
      </c>
      <c r="C114" s="23" t="n">
        <v>538.299</v>
      </c>
      <c r="D114" s="23" t="n">
        <v>456.757229</v>
      </c>
      <c r="E114" s="23" t="n">
        <v>139.44</v>
      </c>
      <c r="G114" s="25" t="n">
        <f aca="false">(B114-B113)/B113</f>
        <v>0.00941530479459795</v>
      </c>
      <c r="H114" s="25" t="n">
        <f aca="false">(C114-C113)/C113</f>
        <v>-0.00243322980215412</v>
      </c>
      <c r="I114" s="25" t="n">
        <f aca="false">(D114-D113)/D113</f>
        <v>0.000933545588222817</v>
      </c>
      <c r="J114" s="25" t="n">
        <f aca="false">(E114-E113)/E113</f>
        <v>-0.0101512032370271</v>
      </c>
      <c r="L114" s="24" t="n">
        <f aca="false">MAX($B$2:B114)</f>
        <v>135.3569</v>
      </c>
      <c r="M114" s="25" t="n">
        <f aca="false">(B114-L114)/L114</f>
        <v>-0.20924915538107</v>
      </c>
    </row>
    <row r="115" customFormat="false" ht="15" hidden="false" customHeight="false" outlineLevel="0" collapsed="false">
      <c r="A115" s="22" t="n">
        <v>45541</v>
      </c>
      <c r="B115" s="23" t="n">
        <v>102.660791</v>
      </c>
      <c r="C115" s="23" t="n">
        <v>529.24</v>
      </c>
      <c r="D115" s="23" t="n">
        <v>444.521953</v>
      </c>
      <c r="E115" s="23" t="n">
        <v>134.35</v>
      </c>
      <c r="G115" s="25" t="n">
        <f aca="false">(B115-B114)/B114</f>
        <v>-0.0408543924013082</v>
      </c>
      <c r="H115" s="25" t="n">
        <f aca="false">(C115-C114)/C114</f>
        <v>-0.0168289370777207</v>
      </c>
      <c r="I115" s="25" t="n">
        <f aca="false">(D115-D114)/D114</f>
        <v>-0.0267872629553938</v>
      </c>
      <c r="J115" s="25" t="n">
        <f aca="false">(E115-E114)/E114</f>
        <v>-0.0365031554790591</v>
      </c>
      <c r="L115" s="24" t="n">
        <f aca="false">MAX($B$2:B115)</f>
        <v>135.3569</v>
      </c>
      <c r="M115" s="25" t="n">
        <f aca="false">(B115-L115)/L115</f>
        <v>-0.241554800678798</v>
      </c>
    </row>
    <row r="116" customFormat="false" ht="15" hidden="false" customHeight="false" outlineLevel="0" collapsed="false">
      <c r="A116" s="22" t="n">
        <v>45544</v>
      </c>
      <c r="B116" s="23" t="n">
        <v>106.294801</v>
      </c>
      <c r="C116" s="23" t="n">
        <v>535.165</v>
      </c>
      <c r="D116" s="23" t="n">
        <v>450.238353</v>
      </c>
      <c r="E116" s="23" t="n">
        <v>138.15</v>
      </c>
      <c r="G116" s="25" t="n">
        <f aca="false">(B116-B115)/B115</f>
        <v>0.0353982271576303</v>
      </c>
      <c r="H116" s="25" t="n">
        <f aca="false">(C116-C115)/C115</f>
        <v>0.0111952989192048</v>
      </c>
      <c r="I116" s="25" t="n">
        <f aca="false">(D116-D115)/D115</f>
        <v>0.0128596573497013</v>
      </c>
      <c r="J116" s="25" t="n">
        <f aca="false">(E116-E115)/E115</f>
        <v>0.0282843319687385</v>
      </c>
      <c r="L116" s="24" t="n">
        <f aca="false">MAX($B$2:B116)</f>
        <v>135.3569</v>
      </c>
      <c r="M116" s="25" t="n">
        <f aca="false">(B116-L116)/L116</f>
        <v>-0.214707185226612</v>
      </c>
    </row>
    <row r="117" customFormat="false" ht="15" hidden="false" customHeight="false" outlineLevel="0" collapsed="false">
      <c r="A117" s="22" t="n">
        <v>45545</v>
      </c>
      <c r="B117" s="23" t="n">
        <v>107.922119</v>
      </c>
      <c r="C117" s="23" t="n">
        <v>537.496</v>
      </c>
      <c r="D117" s="23" t="n">
        <v>454.399338</v>
      </c>
      <c r="E117" s="23" t="n">
        <v>142.84</v>
      </c>
      <c r="G117" s="25" t="n">
        <f aca="false">(B117-B116)/B116</f>
        <v>0.0153094787768594</v>
      </c>
      <c r="H117" s="25" t="n">
        <f aca="false">(C117-C116)/C116</f>
        <v>0.00435566600954849</v>
      </c>
      <c r="I117" s="25" t="n">
        <f aca="false">(D117-D116)/D116</f>
        <v>0.00924173823103867</v>
      </c>
      <c r="J117" s="25" t="n">
        <f aca="false">(E117-E116)/E116</f>
        <v>0.0339486065870431</v>
      </c>
      <c r="L117" s="24" t="n">
        <f aca="false">MAX($B$2:B117)</f>
        <v>135.3569</v>
      </c>
      <c r="M117" s="25" t="n">
        <f aca="false">(B117-L117)/L117</f>
        <v>-0.202684761545219</v>
      </c>
    </row>
    <row r="118" customFormat="false" ht="15" hidden="false" customHeight="false" outlineLevel="0" collapsed="false">
      <c r="A118" s="22" t="n">
        <v>45546</v>
      </c>
      <c r="B118" s="23" t="n">
        <v>116.717622</v>
      </c>
      <c r="C118" s="23" t="n">
        <v>543.01</v>
      </c>
      <c r="D118" s="23" t="n">
        <v>464.266816</v>
      </c>
      <c r="E118" s="23" t="n">
        <v>149.86</v>
      </c>
      <c r="G118" s="25" t="n">
        <f aca="false">(B118-B117)/B117</f>
        <v>0.0814986129025136</v>
      </c>
      <c r="H118" s="25" t="n">
        <f aca="false">(C118-C117)/C117</f>
        <v>0.0102586809948353</v>
      </c>
      <c r="I118" s="25" t="n">
        <f aca="false">(D118-D117)/D117</f>
        <v>0.0217154321646481</v>
      </c>
      <c r="J118" s="25" t="n">
        <f aca="false">(E118-E117)/E117</f>
        <v>0.049145897507701</v>
      </c>
      <c r="L118" s="24" t="n">
        <f aca="false">MAX($B$2:B118)</f>
        <v>135.3569</v>
      </c>
      <c r="M118" s="25" t="n">
        <f aca="false">(B118-L118)/L118</f>
        <v>-0.137704675565117</v>
      </c>
    </row>
    <row r="119" customFormat="false" ht="15" hidden="false" customHeight="false" outlineLevel="0" collapsed="false">
      <c r="A119" s="22" t="n">
        <v>45547</v>
      </c>
      <c r="B119" s="23" t="n">
        <v>118.954127</v>
      </c>
      <c r="C119" s="23" t="n">
        <v>547.584</v>
      </c>
      <c r="D119" s="23" t="n">
        <v>468.824084</v>
      </c>
      <c r="E119" s="23" t="n">
        <v>150.77</v>
      </c>
      <c r="G119" s="25" t="n">
        <f aca="false">(B119-B118)/B118</f>
        <v>0.019161673804492</v>
      </c>
      <c r="H119" s="25" t="n">
        <f aca="false">(C119-C118)/C118</f>
        <v>0.0084234176166184</v>
      </c>
      <c r="I119" s="25" t="n">
        <f aca="false">(D119-D118)/D118</f>
        <v>0.00981605370649627</v>
      </c>
      <c r="J119" s="25" t="n">
        <f aca="false">(E119-E118)/E118</f>
        <v>0.00607233417856664</v>
      </c>
      <c r="L119" s="24" t="n">
        <f aca="false">MAX($B$2:B119)</f>
        <v>135.3569</v>
      </c>
      <c r="M119" s="25" t="n">
        <f aca="false">(B119-L119)/L119</f>
        <v>-0.121181653835157</v>
      </c>
    </row>
    <row r="120" customFormat="false" ht="15" hidden="false" customHeight="false" outlineLevel="0" collapsed="false">
      <c r="A120" s="22" t="n">
        <v>45548</v>
      </c>
      <c r="B120" s="23" t="n">
        <v>118.914189</v>
      </c>
      <c r="C120" s="23" t="n">
        <v>550.444</v>
      </c>
      <c r="D120" s="23" t="n">
        <v>470.924391</v>
      </c>
      <c r="E120" s="23" t="n">
        <v>152.31</v>
      </c>
      <c r="G120" s="25" t="n">
        <f aca="false">(B120-B119)/B119</f>
        <v>-0.000335742870022546</v>
      </c>
      <c r="H120" s="25" t="n">
        <f aca="false">(C120-C119)/C119</f>
        <v>0.0052229429640019</v>
      </c>
      <c r="I120" s="25" t="n">
        <f aca="false">(D120-D119)/D119</f>
        <v>0.00447994689624347</v>
      </c>
      <c r="J120" s="25" t="n">
        <f aca="false">(E120-E119)/E119</f>
        <v>0.0102142336008489</v>
      </c>
      <c r="L120" s="24" t="n">
        <f aca="false">MAX($B$2:B120)</f>
        <v>135.3569</v>
      </c>
      <c r="M120" s="25" t="n">
        <f aca="false">(B120-L120)/L120</f>
        <v>-0.121476710828927</v>
      </c>
    </row>
    <row r="121" customFormat="false" ht="15" hidden="false" customHeight="false" outlineLevel="0" collapsed="false">
      <c r="A121" s="22" t="n">
        <v>45551</v>
      </c>
      <c r="B121" s="23" t="n">
        <v>116.597809</v>
      </c>
      <c r="C121" s="23" t="n">
        <v>551.257</v>
      </c>
      <c r="D121" s="23" t="n">
        <v>468.843899</v>
      </c>
      <c r="E121" s="23" t="n">
        <v>152.08</v>
      </c>
      <c r="G121" s="25" t="n">
        <f aca="false">(B121-B120)/B120</f>
        <v>-0.0194794247808392</v>
      </c>
      <c r="H121" s="25" t="n">
        <f aca="false">(C121-C120)/C120</f>
        <v>0.00147698948485221</v>
      </c>
      <c r="I121" s="25" t="n">
        <f aca="false">(D121-D120)/D120</f>
        <v>-0.00441788966500992</v>
      </c>
      <c r="J121" s="25" t="n">
        <f aca="false">(E121-E120)/E120</f>
        <v>-0.00151007813012927</v>
      </c>
      <c r="L121" s="24" t="n">
        <f aca="false">MAX($B$2:B121)</f>
        <v>135.3569</v>
      </c>
      <c r="M121" s="25" t="n">
        <f aca="false">(B121-L121)/L121</f>
        <v>-0.13858983915855</v>
      </c>
    </row>
    <row r="122" customFormat="false" ht="15" hidden="false" customHeight="false" outlineLevel="0" collapsed="false">
      <c r="A122" s="22" t="n">
        <v>45552</v>
      </c>
      <c r="B122" s="23" t="n">
        <v>115.409666</v>
      </c>
      <c r="C122" s="23" t="n">
        <v>551.482</v>
      </c>
      <c r="D122" s="23" t="n">
        <v>469.091576</v>
      </c>
      <c r="E122" s="23" t="n">
        <v>150.82</v>
      </c>
      <c r="G122" s="25" t="n">
        <f aca="false">(B122-B121)/B121</f>
        <v>-0.0101900971398184</v>
      </c>
      <c r="H122" s="25" t="n">
        <f aca="false">(C122-C121)/C121</f>
        <v>0.000408158082346388</v>
      </c>
      <c r="I122" s="25" t="n">
        <f aca="false">(D122-D121)/D121</f>
        <v>0.000528271777724366</v>
      </c>
      <c r="J122" s="25" t="n">
        <f aca="false">(E122-E121)/E121</f>
        <v>-0.00828511309836941</v>
      </c>
      <c r="L122" s="24" t="n">
        <f aca="false">MAX($B$2:B122)</f>
        <v>135.3569</v>
      </c>
      <c r="M122" s="25" t="n">
        <f aca="false">(B122-L122)/L122</f>
        <v>-0.147367692374751</v>
      </c>
    </row>
    <row r="123" customFormat="false" ht="15" hidden="false" customHeight="false" outlineLevel="0" collapsed="false">
      <c r="A123" s="22" t="n">
        <v>45553</v>
      </c>
      <c r="B123" s="23" t="n">
        <v>113.193129</v>
      </c>
      <c r="C123" s="23" t="n">
        <v>549.847</v>
      </c>
      <c r="D123" s="23" t="n">
        <v>467.06062</v>
      </c>
      <c r="E123" s="23" t="n">
        <v>148.29</v>
      </c>
      <c r="G123" s="25" t="n">
        <f aca="false">(B123-B122)/B122</f>
        <v>-0.019205817647891</v>
      </c>
      <c r="H123" s="25" t="n">
        <f aca="false">(C123-C122)/C122</f>
        <v>-0.00296473864967486</v>
      </c>
      <c r="I123" s="25" t="n">
        <f aca="false">(D123-D122)/D122</f>
        <v>-0.00432955120899465</v>
      </c>
      <c r="J123" s="25" t="n">
        <f aca="false">(E123-E122)/E122</f>
        <v>-0.016774963532688</v>
      </c>
      <c r="L123" s="24" t="n">
        <f aca="false">MAX($B$2:B123)</f>
        <v>135.3569</v>
      </c>
      <c r="M123" s="25" t="n">
        <f aca="false">(B123-L123)/L123</f>
        <v>-0.163743192995702</v>
      </c>
    </row>
    <row r="124" customFormat="false" ht="15" hidden="false" customHeight="false" outlineLevel="0" collapsed="false">
      <c r="A124" s="22" t="n">
        <v>45554</v>
      </c>
      <c r="B124" s="23" t="n">
        <v>117.686108</v>
      </c>
      <c r="C124" s="23" t="n">
        <v>559.23</v>
      </c>
      <c r="D124" s="23" t="n">
        <v>478.86989</v>
      </c>
      <c r="E124" s="23" t="n">
        <v>156.74</v>
      </c>
      <c r="G124" s="25" t="n">
        <f aca="false">(B124-B123)/B123</f>
        <v>0.0396930364916408</v>
      </c>
      <c r="H124" s="25" t="n">
        <f aca="false">(C124-C123)/C123</f>
        <v>0.0170647471023758</v>
      </c>
      <c r="I124" s="25" t="n">
        <f aca="false">(D124-D123)/D123</f>
        <v>0.0252842339823041</v>
      </c>
      <c r="J124" s="25" t="n">
        <f aca="false">(E124-E123)/E123</f>
        <v>0.0569829388360646</v>
      </c>
      <c r="L124" s="24" t="n">
        <f aca="false">MAX($B$2:B124)</f>
        <v>135.3569</v>
      </c>
      <c r="M124" s="25" t="n">
        <f aca="false">(B124-L124)/L124</f>
        <v>-0.130549621038898</v>
      </c>
    </row>
    <row r="125" customFormat="false" ht="15" hidden="false" customHeight="false" outlineLevel="0" collapsed="false">
      <c r="A125" s="22" t="n">
        <v>45555</v>
      </c>
      <c r="B125" s="23" t="n">
        <v>115.819026</v>
      </c>
      <c r="C125" s="23" t="n">
        <v>558.265</v>
      </c>
      <c r="D125" s="23" t="n">
        <v>477.958436</v>
      </c>
      <c r="E125" s="23" t="n">
        <v>155.95</v>
      </c>
      <c r="G125" s="25" t="n">
        <f aca="false">(B125-B124)/B124</f>
        <v>-0.0158649311437847</v>
      </c>
      <c r="H125" s="25" t="n">
        <f aca="false">(C125-C124)/C124</f>
        <v>-0.00172558696779506</v>
      </c>
      <c r="I125" s="25" t="n">
        <f aca="false">(D125-D124)/D124</f>
        <v>-0.00190334372453443</v>
      </c>
      <c r="J125" s="25" t="n">
        <f aca="false">(E125-E124)/E124</f>
        <v>-0.00504019395176739</v>
      </c>
      <c r="L125" s="24" t="n">
        <f aca="false">MAX($B$2:B125)</f>
        <v>135.3569</v>
      </c>
      <c r="M125" s="25" t="n">
        <f aca="false">(B125-L125)/L125</f>
        <v>-0.144343391434053</v>
      </c>
    </row>
    <row r="126" customFormat="false" ht="15" hidden="false" customHeight="false" outlineLevel="0" collapsed="false">
      <c r="A126" s="22" t="n">
        <v>45558</v>
      </c>
      <c r="B126" s="23" t="n">
        <v>116.07862</v>
      </c>
      <c r="C126" s="23" t="n">
        <v>559.66</v>
      </c>
      <c r="D126" s="23" t="n">
        <v>479.225213</v>
      </c>
      <c r="E126" s="23" t="n">
        <v>156.75</v>
      </c>
      <c r="G126" s="25" t="n">
        <f aca="false">(B126-B125)/B125</f>
        <v>0.00224137612761488</v>
      </c>
      <c r="H126" s="25" t="n">
        <f aca="false">(C126-C125)/C125</f>
        <v>0.00249881328759636</v>
      </c>
      <c r="I126" s="25" t="n">
        <f aca="false">(D126-D125)/D125</f>
        <v>0.00265039154994639</v>
      </c>
      <c r="J126" s="25" t="n">
        <f aca="false">(E126-E125)/E125</f>
        <v>0.00512984931067657</v>
      </c>
      <c r="L126" s="24" t="n">
        <f aca="false">MAX($B$2:B126)</f>
        <v>135.3569</v>
      </c>
      <c r="M126" s="25" t="n">
        <f aca="false">(B126-L126)/L126</f>
        <v>-0.142425543138178</v>
      </c>
    </row>
    <row r="127" customFormat="false" ht="15" hidden="false" customHeight="false" outlineLevel="0" collapsed="false">
      <c r="A127" s="22" t="n">
        <v>45559</v>
      </c>
      <c r="B127" s="23" t="n">
        <v>120.681428</v>
      </c>
      <c r="C127" s="23" t="n">
        <v>561.262</v>
      </c>
      <c r="D127" s="23" t="n">
        <v>481.536811</v>
      </c>
      <c r="E127" s="23" t="n">
        <v>158.32</v>
      </c>
      <c r="G127" s="25" t="n">
        <f aca="false">(B127-B126)/B126</f>
        <v>0.0396525044835991</v>
      </c>
      <c r="H127" s="25" t="n">
        <f aca="false">(C127-C126)/C126</f>
        <v>0.00286245220312328</v>
      </c>
      <c r="I127" s="25" t="n">
        <f aca="false">(D127-D126)/D126</f>
        <v>0.00482361515482284</v>
      </c>
      <c r="J127" s="25" t="n">
        <f aca="false">(E127-E126)/E126</f>
        <v>0.0100159489633173</v>
      </c>
      <c r="L127" s="24" t="n">
        <f aca="false">MAX($B$2:B127)</f>
        <v>135.3569</v>
      </c>
      <c r="M127" s="25" t="n">
        <f aca="false">(B127-L127)/L127</f>
        <v>-0.108420568142444</v>
      </c>
    </row>
    <row r="128" customFormat="false" ht="15" hidden="false" customHeight="false" outlineLevel="0" collapsed="false">
      <c r="A128" s="22" t="n">
        <v>45560</v>
      </c>
      <c r="B128" s="23" t="n">
        <v>123.317309</v>
      </c>
      <c r="C128" s="23" t="n">
        <v>560.024</v>
      </c>
      <c r="D128" s="23" t="n">
        <v>481.983258</v>
      </c>
      <c r="E128" s="23" t="n">
        <v>162.02</v>
      </c>
      <c r="G128" s="25" t="n">
        <f aca="false">(B128-B127)/B127</f>
        <v>0.0218416457584509</v>
      </c>
      <c r="H128" s="25" t="n">
        <f aca="false">(C128-C127)/C127</f>
        <v>-0.00220574348521714</v>
      </c>
      <c r="I128" s="25" t="n">
        <f aca="false">(D128-D127)/D127</f>
        <v>0.000927129535689802</v>
      </c>
      <c r="J128" s="25" t="n">
        <f aca="false">(E128-E127)/E127</f>
        <v>0.0233703890853968</v>
      </c>
      <c r="L128" s="24" t="n">
        <f aca="false">MAX($B$2:B128)</f>
        <v>135.3569</v>
      </c>
      <c r="M128" s="25" t="n">
        <f aca="false">(B128-L128)/L128</f>
        <v>-0.0889470060262905</v>
      </c>
    </row>
    <row r="129" customFormat="false" ht="15" hidden="false" customHeight="false" outlineLevel="0" collapsed="false">
      <c r="A129" s="22" t="n">
        <v>45561</v>
      </c>
      <c r="B129" s="23" t="n">
        <v>123.846482</v>
      </c>
      <c r="C129" s="23" t="n">
        <v>562.244</v>
      </c>
      <c r="D129" s="23" t="n">
        <v>485.604432</v>
      </c>
      <c r="E129" s="23" t="n">
        <v>167.49</v>
      </c>
      <c r="G129" s="25" t="n">
        <f aca="false">(B129-B128)/B128</f>
        <v>0.00429114942817963</v>
      </c>
      <c r="H129" s="25" t="n">
        <f aca="false">(C129-C128)/C128</f>
        <v>0.00396411582360761</v>
      </c>
      <c r="I129" s="25" t="n">
        <f aca="false">(D129-D128)/D128</f>
        <v>0.00751307009091174</v>
      </c>
      <c r="J129" s="25" t="n">
        <f aca="false">(E129-E128)/E128</f>
        <v>0.0337612640414764</v>
      </c>
      <c r="L129" s="24" t="n">
        <f aca="false">MAX($B$2:B129)</f>
        <v>135.3569</v>
      </c>
      <c r="M129" s="25" t="n">
        <f aca="false">(B129-L129)/L129</f>
        <v>-0.0850375414921589</v>
      </c>
    </row>
    <row r="130" customFormat="false" ht="15" hidden="false" customHeight="false" outlineLevel="0" collapsed="false">
      <c r="A130" s="22" t="n">
        <v>45562</v>
      </c>
      <c r="B130" s="23" t="n">
        <v>121.210601</v>
      </c>
      <c r="C130" s="23" t="n">
        <v>561.429</v>
      </c>
      <c r="D130" s="23" t="n">
        <v>482.905913</v>
      </c>
      <c r="E130" s="23" t="n">
        <v>164.35</v>
      </c>
      <c r="G130" s="25" t="n">
        <f aca="false">(B130-B129)/B129</f>
        <v>-0.0212834547855788</v>
      </c>
      <c r="H130" s="25" t="n">
        <f aca="false">(C130-C129)/C129</f>
        <v>-0.00144954859456047</v>
      </c>
      <c r="I130" s="25" t="n">
        <f aca="false">(D130-D129)/D129</f>
        <v>-0.00555703124225188</v>
      </c>
      <c r="J130" s="25" t="n">
        <f aca="false">(E130-E129)/E129</f>
        <v>-0.0187473879037555</v>
      </c>
      <c r="L130" s="24" t="n">
        <f aca="false">MAX($B$2:B130)</f>
        <v>135.3569</v>
      </c>
      <c r="M130" s="25" t="n">
        <f aca="false">(B130-L130)/L130</f>
        <v>-0.104511103608313</v>
      </c>
    </row>
    <row r="131" customFormat="false" ht="15" hidden="false" customHeight="false" outlineLevel="0" collapsed="false">
      <c r="A131" s="22" t="n">
        <v>45565</v>
      </c>
      <c r="B131" s="23" t="n">
        <v>121.250539</v>
      </c>
      <c r="C131" s="23" t="n">
        <v>563.679</v>
      </c>
      <c r="D131" s="23" t="n">
        <v>484.215488</v>
      </c>
      <c r="E131" s="23" t="n">
        <v>164.08</v>
      </c>
      <c r="G131" s="25" t="n">
        <f aca="false">(B131-B130)/B130</f>
        <v>0.000329492632414276</v>
      </c>
      <c r="H131" s="25" t="n">
        <f aca="false">(C131-C130)/C130</f>
        <v>0.00400763052852632</v>
      </c>
      <c r="I131" s="25" t="n">
        <f aca="false">(D131-D130)/D130</f>
        <v>0.00271186366690854</v>
      </c>
      <c r="J131" s="25" t="n">
        <f aca="false">(E131-E130)/E130</f>
        <v>-0.00164283541222989</v>
      </c>
      <c r="L131" s="24" t="n">
        <f aca="false">MAX($B$2:B131)</f>
        <v>135.3569</v>
      </c>
      <c r="M131" s="25" t="n">
        <f aca="false">(B131-L131)/L131</f>
        <v>-0.104216046614543</v>
      </c>
    </row>
    <row r="132" customFormat="false" ht="15" hidden="false" customHeight="false" outlineLevel="0" collapsed="false">
      <c r="A132" s="22" t="n">
        <v>45566</v>
      </c>
      <c r="B132" s="23" t="n">
        <v>116.817466</v>
      </c>
      <c r="C132" s="23" t="n">
        <v>558.629</v>
      </c>
      <c r="D132" s="23" t="n">
        <v>477.469191</v>
      </c>
      <c r="E132" s="23" t="n">
        <v>159.75</v>
      </c>
      <c r="G132" s="25" t="n">
        <f aca="false">(B132-B131)/B131</f>
        <v>-0.0365612642761119</v>
      </c>
      <c r="H132" s="25" t="n">
        <f aca="false">(C132-C131)/C131</f>
        <v>-0.00895899971437636</v>
      </c>
      <c r="I132" s="25" t="n">
        <f aca="false">(D132-D131)/D131</f>
        <v>-0.0139324271263293</v>
      </c>
      <c r="J132" s="25" t="n">
        <f aca="false">(E132-E131)/E131</f>
        <v>-0.0263895660653341</v>
      </c>
      <c r="L132" s="24" t="n">
        <f aca="false">MAX($B$2:B132)</f>
        <v>135.3569</v>
      </c>
      <c r="M132" s="25" t="n">
        <f aca="false">(B132-L132)/L132</f>
        <v>-0.136967040468569</v>
      </c>
    </row>
    <row r="133" customFormat="false" ht="15" hidden="false" customHeight="false" outlineLevel="0" collapsed="false">
      <c r="A133" s="22" t="n">
        <v>45567</v>
      </c>
      <c r="B133" s="23" t="n">
        <v>118.66458</v>
      </c>
      <c r="C133" s="23" t="n">
        <v>558.865</v>
      </c>
      <c r="D133" s="23" t="n">
        <v>478.143821</v>
      </c>
      <c r="E133" s="23" t="n">
        <v>159.78</v>
      </c>
      <c r="G133" s="25" t="n">
        <f aca="false">(B133-B132)/B132</f>
        <v>0.0158119677069524</v>
      </c>
      <c r="H133" s="25" t="n">
        <f aca="false">(C133-C132)/C132</f>
        <v>0.000422462851015594</v>
      </c>
      <c r="I133" s="25" t="n">
        <f aca="false">(D133-D132)/D132</f>
        <v>0.00141292886057643</v>
      </c>
      <c r="J133" s="25" t="n">
        <f aca="false">(E133-E132)/E132</f>
        <v>0.000187793427230054</v>
      </c>
      <c r="L133" s="24" t="n">
        <f aca="false">MAX($B$2:B133)</f>
        <v>135.3569</v>
      </c>
      <c r="M133" s="25" t="n">
        <f aca="false">(B133-L133)/L133</f>
        <v>-0.123320791182422</v>
      </c>
    </row>
    <row r="134" customFormat="false" ht="15" hidden="false" customHeight="false" outlineLevel="0" collapsed="false">
      <c r="A134" s="22" t="n">
        <v>45568</v>
      </c>
      <c r="B134" s="23" t="n">
        <v>122.658339</v>
      </c>
      <c r="C134" s="23" t="n">
        <v>557.843</v>
      </c>
      <c r="D134" s="23" t="n">
        <v>477.786664</v>
      </c>
      <c r="E134" s="23" t="n">
        <v>162.85</v>
      </c>
      <c r="G134" s="25" t="n">
        <f aca="false">(B134-B133)/B133</f>
        <v>0.0336558642857034</v>
      </c>
      <c r="H134" s="25" t="n">
        <f aca="false">(C134-C133)/C133</f>
        <v>-0.00182870639599912</v>
      </c>
      <c r="I134" s="25" t="n">
        <f aca="false">(D134-D133)/D133</f>
        <v>-0.000746965628988081</v>
      </c>
      <c r="J134" s="25" t="n">
        <f aca="false">(E134-E133)/E133</f>
        <v>0.0192139191388158</v>
      </c>
      <c r="L134" s="24" t="n">
        <f aca="false">MAX($B$2:B134)</f>
        <v>135.3569</v>
      </c>
      <c r="M134" s="25" t="n">
        <f aca="false">(B134-L134)/L134</f>
        <v>-0.0938153947083599</v>
      </c>
    </row>
    <row r="135" customFormat="false" ht="15" hidden="false" customHeight="false" outlineLevel="0" collapsed="false">
      <c r="A135" s="22" t="n">
        <v>45569</v>
      </c>
      <c r="B135" s="23" t="n">
        <v>124.72511</v>
      </c>
      <c r="C135" s="23" t="n">
        <v>562.912</v>
      </c>
      <c r="D135" s="23" t="n">
        <v>483.471411</v>
      </c>
      <c r="E135" s="23" t="n">
        <v>170.9</v>
      </c>
      <c r="G135" s="25" t="n">
        <f aca="false">(B135-B134)/B134</f>
        <v>0.0168498205409418</v>
      </c>
      <c r="H135" s="25" t="n">
        <f aca="false">(C135-C134)/C134</f>
        <v>0.00908678606704767</v>
      </c>
      <c r="I135" s="25" t="n">
        <f aca="false">(D135-D134)/D134</f>
        <v>0.0118980863810799</v>
      </c>
      <c r="J135" s="25" t="n">
        <f aca="false">(E135-E134)/E134</f>
        <v>0.0494319926312558</v>
      </c>
      <c r="L135" s="24" t="n">
        <f aca="false">MAX($B$2:B135)</f>
        <v>135.3569</v>
      </c>
      <c r="M135" s="25" t="n">
        <f aca="false">(B135-L135)/L135</f>
        <v>-0.0785463467322316</v>
      </c>
    </row>
    <row r="136" customFormat="false" ht="15" hidden="false" customHeight="false" outlineLevel="0" collapsed="false">
      <c r="A136" s="22" t="n">
        <v>45572</v>
      </c>
      <c r="B136" s="23" t="n">
        <v>127.520741</v>
      </c>
      <c r="C136" s="23" t="n">
        <v>557.823</v>
      </c>
      <c r="D136" s="23" t="n">
        <v>478.292636</v>
      </c>
      <c r="E136" s="23" t="n">
        <v>170.97</v>
      </c>
      <c r="G136" s="25" t="n">
        <f aca="false">(B136-B135)/B135</f>
        <v>0.0224143398229915</v>
      </c>
      <c r="H136" s="25" t="n">
        <f aca="false">(C136-C135)/C135</f>
        <v>-0.00904048945483496</v>
      </c>
      <c r="I136" s="25" t="n">
        <f aca="false">(D136-D135)/D135</f>
        <v>-0.0107116468154515</v>
      </c>
      <c r="J136" s="25" t="n">
        <f aca="false">(E136-E135)/E135</f>
        <v>0.000409596255119913</v>
      </c>
      <c r="L136" s="24" t="n">
        <f aca="false">MAX($B$2:B136)</f>
        <v>135.3569</v>
      </c>
      <c r="M136" s="25" t="n">
        <f aca="false">(B136-L136)/L136</f>
        <v>-0.0578925714167508</v>
      </c>
    </row>
    <row r="137" customFormat="false" ht="15" hidden="false" customHeight="false" outlineLevel="0" collapsed="false">
      <c r="A137" s="22" t="n">
        <v>45573</v>
      </c>
      <c r="B137" s="23" t="n">
        <v>132.682675</v>
      </c>
      <c r="C137" s="23" t="n">
        <v>563.099</v>
      </c>
      <c r="D137" s="23" t="n">
        <v>485.435774</v>
      </c>
      <c r="E137" s="23" t="n">
        <v>172.8</v>
      </c>
      <c r="G137" s="25" t="n">
        <f aca="false">(B137-B136)/B136</f>
        <v>0.0404791719332935</v>
      </c>
      <c r="H137" s="25" t="n">
        <f aca="false">(C137-C136)/C136</f>
        <v>0.00945819731348487</v>
      </c>
      <c r="I137" s="25" t="n">
        <f aca="false">(D137-D136)/D136</f>
        <v>0.0149346602108253</v>
      </c>
      <c r="J137" s="25" t="n">
        <f aca="false">(E137-E136)/E136</f>
        <v>0.0107036322161784</v>
      </c>
      <c r="L137" s="24" t="n">
        <f aca="false">MAX($B$2:B137)</f>
        <v>135.3569</v>
      </c>
      <c r="M137" s="25" t="n">
        <f aca="false">(B137-L137)/L137</f>
        <v>-0.0197568428354964</v>
      </c>
    </row>
    <row r="138" customFormat="false" ht="15" hidden="false" customHeight="false" outlineLevel="0" collapsed="false">
      <c r="A138" s="22" t="n">
        <v>45574</v>
      </c>
      <c r="B138" s="23" t="n">
        <v>132.44305</v>
      </c>
      <c r="C138" s="23" t="n">
        <v>566.999</v>
      </c>
      <c r="D138" s="23" t="n">
        <v>489.255369</v>
      </c>
      <c r="E138" s="23" t="n">
        <v>171.02</v>
      </c>
      <c r="G138" s="25" t="n">
        <f aca="false">(B138-B137)/B137</f>
        <v>-0.00180600067039641</v>
      </c>
      <c r="H138" s="25" t="n">
        <f aca="false">(C138-C137)/C137</f>
        <v>0.00692595795765927</v>
      </c>
      <c r="I138" s="25" t="n">
        <f aca="false">(D138-D137)/D137</f>
        <v>0.00786838384103103</v>
      </c>
      <c r="J138" s="25" t="n">
        <f aca="false">(E138-E137)/E137</f>
        <v>-0.0103009259259259</v>
      </c>
      <c r="L138" s="24" t="n">
        <f aca="false">MAX($B$2:B138)</f>
        <v>135.3569</v>
      </c>
      <c r="M138" s="25" t="n">
        <f aca="false">(B138-L138)/L138</f>
        <v>-0.021527162634487</v>
      </c>
    </row>
    <row r="139" customFormat="false" ht="15" hidden="false" customHeight="false" outlineLevel="0" collapsed="false">
      <c r="A139" s="22" t="n">
        <v>45575</v>
      </c>
      <c r="B139" s="23" t="n">
        <v>134.59968</v>
      </c>
      <c r="C139" s="23" t="n">
        <v>566.007</v>
      </c>
      <c r="D139" s="23" t="n">
        <v>488.699792</v>
      </c>
      <c r="E139" s="23" t="n">
        <v>164.18</v>
      </c>
      <c r="G139" s="25" t="n">
        <f aca="false">(B139-B138)/B138</f>
        <v>0.0162834516420454</v>
      </c>
      <c r="H139" s="25" t="n">
        <f aca="false">(C139-C138)/C138</f>
        <v>-0.00174956216854011</v>
      </c>
      <c r="I139" s="25" t="n">
        <f aca="false">(D139-D138)/D138</f>
        <v>-0.0011355562661183</v>
      </c>
      <c r="J139" s="25" t="n">
        <f aca="false">(E139-E138)/E138</f>
        <v>-0.0399953221845398</v>
      </c>
      <c r="L139" s="24" t="n">
        <f aca="false">MAX($B$2:B139)</f>
        <v>135.3569</v>
      </c>
      <c r="M139" s="25" t="n">
        <f aca="false">(B139-L139)/L139</f>
        <v>-0.0055942475041907</v>
      </c>
    </row>
    <row r="140" customFormat="false" ht="15" hidden="false" customHeight="false" outlineLevel="0" collapsed="false">
      <c r="A140" s="22" t="n">
        <v>45576</v>
      </c>
      <c r="B140" s="23" t="n">
        <v>134.589696</v>
      </c>
      <c r="C140" s="23" t="n">
        <v>569.396</v>
      </c>
      <c r="D140" s="23" t="n">
        <v>489.463711</v>
      </c>
      <c r="E140" s="23" t="n">
        <v>167.89</v>
      </c>
      <c r="G140" s="25" t="n">
        <f aca="false">(B140-B139)/B139</f>
        <v>-7.41755106698833E-005</v>
      </c>
      <c r="H140" s="25" t="n">
        <f aca="false">(C140-C139)/C139</f>
        <v>0.00598755845775761</v>
      </c>
      <c r="I140" s="25" t="n">
        <f aca="false">(D140-D139)/D139</f>
        <v>0.00156316620654503</v>
      </c>
      <c r="J140" s="25" t="n">
        <f aca="false">(E140-E139)/E139</f>
        <v>0.0225971494700937</v>
      </c>
      <c r="L140" s="24" t="n">
        <f aca="false">MAX($B$2:B140)</f>
        <v>135.3569</v>
      </c>
      <c r="M140" s="25" t="n">
        <f aca="false">(B140-L140)/L140</f>
        <v>-0.00566800805869514</v>
      </c>
    </row>
    <row r="141" customFormat="false" ht="15" hidden="false" customHeight="false" outlineLevel="0" collapsed="false">
      <c r="A141" s="22" t="n">
        <v>45579</v>
      </c>
      <c r="B141" s="23" t="n">
        <v>137.854594</v>
      </c>
      <c r="C141" s="23" t="n">
        <v>574.053</v>
      </c>
      <c r="D141" s="23" t="n">
        <v>493.571015</v>
      </c>
      <c r="E141" s="23" t="n">
        <v>165.27</v>
      </c>
      <c r="G141" s="25" t="n">
        <f aca="false">(B141-B140)/B140</f>
        <v>0.0242581571772031</v>
      </c>
      <c r="H141" s="25" t="n">
        <f aca="false">(C141-C140)/C140</f>
        <v>0.00817884214149738</v>
      </c>
      <c r="I141" s="25" t="n">
        <f aca="false">(D141-D140)/D140</f>
        <v>0.00839143721525047</v>
      </c>
      <c r="J141" s="25" t="n">
        <f aca="false">(E141-E140)/E140</f>
        <v>-0.0156054559533026</v>
      </c>
      <c r="L141" s="24" t="n">
        <f aca="false">MAX($B$2:B141)</f>
        <v>137.854594</v>
      </c>
      <c r="M141" s="25" t="n">
        <f aca="false">(B141-L141)/L141</f>
        <v>0</v>
      </c>
    </row>
    <row r="142" customFormat="false" ht="15" hidden="false" customHeight="false" outlineLevel="0" collapsed="false">
      <c r="A142" s="22" t="n">
        <v>45580</v>
      </c>
      <c r="B142" s="23" t="n">
        <v>131.394688</v>
      </c>
      <c r="C142" s="23" t="n">
        <v>569.593</v>
      </c>
      <c r="D142" s="23" t="n">
        <v>486.973533</v>
      </c>
      <c r="E142" s="23" t="n">
        <v>156.64</v>
      </c>
      <c r="G142" s="25" t="n">
        <f aca="false">(B142-B141)/B141</f>
        <v>-0.0468602881671103</v>
      </c>
      <c r="H142" s="25" t="n">
        <f aca="false">(C142-C141)/C141</f>
        <v>-0.00776931746720257</v>
      </c>
      <c r="I142" s="25" t="n">
        <f aca="false">(D142-D141)/D141</f>
        <v>-0.0133668343551333</v>
      </c>
      <c r="J142" s="25" t="n">
        <f aca="false">(E142-E141)/E141</f>
        <v>-0.0522175833484602</v>
      </c>
      <c r="L142" s="24" t="n">
        <f aca="false">MAX($B$2:B142)</f>
        <v>137.854594</v>
      </c>
      <c r="M142" s="25" t="n">
        <f aca="false">(B142-L142)/L142</f>
        <v>-0.0468602881671103</v>
      </c>
    </row>
    <row r="143" customFormat="false" ht="15" hidden="false" customHeight="false" outlineLevel="0" collapsed="false">
      <c r="A143" s="22" t="n">
        <v>45581</v>
      </c>
      <c r="B143" s="23" t="n">
        <v>135.50826</v>
      </c>
      <c r="C143" s="23" t="n">
        <v>572.069</v>
      </c>
      <c r="D143" s="23" t="n">
        <v>487.03306</v>
      </c>
      <c r="E143" s="23" t="n">
        <v>156.13</v>
      </c>
      <c r="G143" s="25" t="n">
        <f aca="false">(B143-B142)/B142</f>
        <v>0.0313069886052015</v>
      </c>
      <c r="H143" s="25" t="n">
        <f aca="false">(C143-C142)/C142</f>
        <v>0.00434696353361084</v>
      </c>
      <c r="I143" s="25" t="n">
        <f aca="false">(D143-D142)/D142</f>
        <v>0.00012223867616231</v>
      </c>
      <c r="J143" s="25" t="n">
        <f aca="false">(E143-E142)/E142</f>
        <v>-0.00325587334014295</v>
      </c>
      <c r="L143" s="24" t="n">
        <f aca="false">MAX($B$2:B143)</f>
        <v>137.854594</v>
      </c>
      <c r="M143" s="25" t="n">
        <f aca="false">(B143-L143)/L143</f>
        <v>-0.017020354069593</v>
      </c>
    </row>
    <row r="144" customFormat="false" ht="15" hidden="false" customHeight="false" outlineLevel="0" collapsed="false">
      <c r="A144" s="22" t="n">
        <v>45582</v>
      </c>
      <c r="B144" s="23" t="n">
        <v>136.716373</v>
      </c>
      <c r="C144" s="23" t="n">
        <v>572.118</v>
      </c>
      <c r="D144" s="23" t="n">
        <v>487.370374</v>
      </c>
      <c r="E144" s="23" t="n">
        <v>156.25</v>
      </c>
      <c r="G144" s="25" t="n">
        <f aca="false">(B144-B143)/B143</f>
        <v>0.0089154196209146</v>
      </c>
      <c r="H144" s="25" t="n">
        <f aca="false">(C144-C143)/C143</f>
        <v>8.56540032759892E-005</v>
      </c>
      <c r="I144" s="25" t="n">
        <f aca="false">(D144-D143)/D143</f>
        <v>0.000692589533860492</v>
      </c>
      <c r="J144" s="25" t="n">
        <f aca="false">(E144-E143)/E143</f>
        <v>0.000768590277333021</v>
      </c>
      <c r="L144" s="24" t="n">
        <f aca="false">MAX($B$2:B144)</f>
        <v>137.854594</v>
      </c>
      <c r="M144" s="25" t="n">
        <f aca="false">(B144-L144)/L144</f>
        <v>-0.00825667804730532</v>
      </c>
    </row>
    <row r="145" customFormat="false" ht="15" hidden="false" customHeight="false" outlineLevel="0" collapsed="false">
      <c r="A145" s="22" t="n">
        <v>45583</v>
      </c>
      <c r="B145" s="23" t="n">
        <v>137.784703</v>
      </c>
      <c r="C145" s="23" t="n">
        <v>574.318</v>
      </c>
      <c r="D145" s="23" t="n">
        <v>490.564945</v>
      </c>
      <c r="E145" s="23" t="n">
        <v>155.97</v>
      </c>
      <c r="G145" s="25" t="n">
        <f aca="false">(B145-B144)/B144</f>
        <v>0.00781420671538736</v>
      </c>
      <c r="H145" s="25" t="n">
        <f aca="false">(C145-C144)/C144</f>
        <v>0.0038453605724692</v>
      </c>
      <c r="I145" s="25" t="n">
        <f aca="false">(D145-D144)/D144</f>
        <v>0.00655470904762052</v>
      </c>
      <c r="J145" s="25" t="n">
        <f aca="false">(E145-E144)/E144</f>
        <v>-0.00179200000000001</v>
      </c>
      <c r="L145" s="24" t="n">
        <f aca="false">MAX($B$2:B145)</f>
        <v>137.854594</v>
      </c>
      <c r="M145" s="25" t="n">
        <f aca="false">(B145-L145)/L145</f>
        <v>-0.000506990720962003</v>
      </c>
    </row>
    <row r="146" customFormat="false" ht="15" hidden="false" customHeight="false" outlineLevel="0" collapsed="false">
      <c r="A146" s="22" t="n">
        <v>45586</v>
      </c>
      <c r="B146" s="23" t="n">
        <v>143.485795</v>
      </c>
      <c r="C146" s="23" t="n">
        <v>573.375</v>
      </c>
      <c r="D146" s="23" t="n">
        <v>491.507442</v>
      </c>
      <c r="E146" s="23" t="n">
        <v>157.9</v>
      </c>
      <c r="G146" s="25" t="n">
        <f aca="false">(B146-B145)/B145</f>
        <v>0.041376813796231</v>
      </c>
      <c r="H146" s="25" t="n">
        <f aca="false">(C146-C145)/C145</f>
        <v>-0.00164194749250412</v>
      </c>
      <c r="I146" s="25" t="n">
        <f aca="false">(D146-D145)/D145</f>
        <v>0.00192124816419568</v>
      </c>
      <c r="J146" s="25" t="n">
        <f aca="false">(E146-E145)/E145</f>
        <v>0.0123741745207412</v>
      </c>
      <c r="L146" s="24" t="n">
        <f aca="false">MAX($B$2:B146)</f>
        <v>143.485795</v>
      </c>
      <c r="M146" s="25" t="n">
        <f aca="false">(B146-L146)/L146</f>
        <v>0</v>
      </c>
    </row>
    <row r="147" customFormat="false" ht="15" hidden="false" customHeight="false" outlineLevel="0" collapsed="false">
      <c r="A147" s="22" t="n">
        <v>45587</v>
      </c>
      <c r="B147" s="23" t="n">
        <v>143.365982</v>
      </c>
      <c r="C147" s="23" t="n">
        <v>573.071</v>
      </c>
      <c r="D147" s="23" t="n">
        <v>492.043177</v>
      </c>
      <c r="E147" s="23" t="n">
        <v>154.09</v>
      </c>
      <c r="G147" s="25" t="n">
        <f aca="false">(B147-B146)/B146</f>
        <v>-0.000835016455810093</v>
      </c>
      <c r="H147" s="25" t="n">
        <f aca="false">(C147-C146)/C146</f>
        <v>-0.000530194026596858</v>
      </c>
      <c r="I147" s="25" t="n">
        <f aca="false">(D147-D146)/D146</f>
        <v>0.00108998349611965</v>
      </c>
      <c r="J147" s="25" t="n">
        <f aca="false">(E147-E146)/E146</f>
        <v>-0.0241291956934769</v>
      </c>
      <c r="L147" s="24" t="n">
        <f aca="false">MAX($B$2:B147)</f>
        <v>143.485795</v>
      </c>
      <c r="M147" s="25" t="n">
        <f aca="false">(B147-L147)/L147</f>
        <v>-0.000835016455810093</v>
      </c>
    </row>
    <row r="148" customFormat="false" ht="15" hidden="false" customHeight="false" outlineLevel="0" collapsed="false">
      <c r="A148" s="22" t="n">
        <v>45588</v>
      </c>
      <c r="B148" s="23" t="n">
        <v>139.342269</v>
      </c>
      <c r="C148" s="23" t="n">
        <v>567.834</v>
      </c>
      <c r="D148" s="23" t="n">
        <v>484.503198</v>
      </c>
      <c r="E148" s="23" t="n">
        <v>152.91</v>
      </c>
      <c r="G148" s="25" t="n">
        <f aca="false">(B148-B147)/B147</f>
        <v>-0.0280660233611068</v>
      </c>
      <c r="H148" s="25" t="n">
        <f aca="false">(C148-C147)/C147</f>
        <v>-0.00913848371318751</v>
      </c>
      <c r="I148" s="25" t="n">
        <f aca="false">(D148-D147)/D147</f>
        <v>-0.0153238157796872</v>
      </c>
      <c r="J148" s="25" t="n">
        <f aca="false">(E148-E147)/E147</f>
        <v>-0.00765786228827313</v>
      </c>
      <c r="L148" s="24" t="n">
        <f aca="false">MAX($B$2:B148)</f>
        <v>143.485795</v>
      </c>
      <c r="M148" s="25" t="n">
        <f aca="false">(B148-L148)/L148</f>
        <v>-0.0288776042255612</v>
      </c>
    </row>
    <row r="149" customFormat="false" ht="15" hidden="false" customHeight="false" outlineLevel="0" collapsed="false">
      <c r="A149" s="22" t="n">
        <v>45589</v>
      </c>
      <c r="B149" s="23" t="n">
        <v>140.190943</v>
      </c>
      <c r="C149" s="23" t="n">
        <v>569.062</v>
      </c>
      <c r="D149" s="23" t="n">
        <v>488.431924</v>
      </c>
      <c r="E149" s="23" t="n">
        <v>153.44</v>
      </c>
      <c r="G149" s="25" t="n">
        <f aca="false">(B149-B148)/B148</f>
        <v>0.00609057112454525</v>
      </c>
      <c r="H149" s="25" t="n">
        <f aca="false">(C149-C148)/C148</f>
        <v>0.0021626038595788</v>
      </c>
      <c r="I149" s="25" t="n">
        <f aca="false">(D149-D148)/D148</f>
        <v>0.00810877207047864</v>
      </c>
      <c r="J149" s="25" t="n">
        <f aca="false">(E149-E148)/E148</f>
        <v>0.00346609116473743</v>
      </c>
      <c r="L149" s="24" t="n">
        <f aca="false">MAX($B$2:B149)</f>
        <v>143.485795</v>
      </c>
      <c r="M149" s="25" t="n">
        <f aca="false">(B149-L149)/L149</f>
        <v>-0.0229629142034582</v>
      </c>
    </row>
    <row r="150" customFormat="false" ht="15" hidden="false" customHeight="false" outlineLevel="0" collapsed="false">
      <c r="A150" s="22" t="n">
        <v>45590</v>
      </c>
      <c r="B150" s="23" t="n">
        <v>141.31918</v>
      </c>
      <c r="C150" s="23" t="n">
        <v>568.866</v>
      </c>
      <c r="D150" s="23" t="n">
        <v>491.408232</v>
      </c>
      <c r="E150" s="23" t="n">
        <v>156.23</v>
      </c>
      <c r="G150" s="25" t="n">
        <f aca="false">(B150-B149)/B149</f>
        <v>0.00804785941128868</v>
      </c>
      <c r="H150" s="25" t="n">
        <f aca="false">(C150-C149)/C149</f>
        <v>-0.000344426442110045</v>
      </c>
      <c r="I150" s="25" t="n">
        <f aca="false">(D150-D149)/D149</f>
        <v>0.00609359841925488</v>
      </c>
      <c r="J150" s="25" t="n">
        <f aca="false">(E150-E149)/E149</f>
        <v>0.0181830031282586</v>
      </c>
      <c r="L150" s="24" t="n">
        <f aca="false">MAX($B$2:B150)</f>
        <v>143.485795</v>
      </c>
      <c r="M150" s="25" t="n">
        <f aca="false">(B150-L150)/L150</f>
        <v>-0.0150998570973524</v>
      </c>
    </row>
    <row r="151" customFormat="false" ht="15" hidden="false" customHeight="false" outlineLevel="0" collapsed="false">
      <c r="A151" s="22" t="n">
        <v>45593</v>
      </c>
      <c r="B151" s="23" t="n">
        <v>140.300772</v>
      </c>
      <c r="C151" s="23" t="n">
        <v>570.624</v>
      </c>
      <c r="D151" s="23" t="n">
        <v>491.4876</v>
      </c>
      <c r="E151" s="23" t="n">
        <v>159.92</v>
      </c>
      <c r="G151" s="25" t="n">
        <f aca="false">(B151-B150)/B150</f>
        <v>-0.00720643864477556</v>
      </c>
      <c r="H151" s="25" t="n">
        <f aca="false">(C151-C150)/C150</f>
        <v>0.00309035871365144</v>
      </c>
      <c r="I151" s="25" t="n">
        <f aca="false">(D151-D150)/D150</f>
        <v>0.000161511335854032</v>
      </c>
      <c r="J151" s="25" t="n">
        <f aca="false">(E151-E150)/E150</f>
        <v>0.0236190232349741</v>
      </c>
      <c r="L151" s="24" t="n">
        <f aca="false">MAX($B$2:B151)</f>
        <v>143.485795</v>
      </c>
      <c r="M151" s="25" t="n">
        <f aca="false">(B151-L151)/L151</f>
        <v>-0.0221974795484111</v>
      </c>
    </row>
    <row r="152" customFormat="false" ht="15" hidden="false" customHeight="false" outlineLevel="0" collapsed="false">
      <c r="A152" s="22" t="n">
        <v>45594</v>
      </c>
      <c r="B152" s="23" t="n">
        <v>141.029633</v>
      </c>
      <c r="C152" s="23" t="n">
        <v>571.548</v>
      </c>
      <c r="D152" s="23" t="n">
        <v>496.210008</v>
      </c>
      <c r="E152" s="23" t="n">
        <v>166.25</v>
      </c>
      <c r="G152" s="25" t="n">
        <f aca="false">(B152-B151)/B151</f>
        <v>0.00519498923355885</v>
      </c>
      <c r="H152" s="25" t="n">
        <f aca="false">(C152-C151)/C151</f>
        <v>0.00161927994616416</v>
      </c>
      <c r="I152" s="25" t="n">
        <f aca="false">(D152-D151)/D151</f>
        <v>0.00960839703789074</v>
      </c>
      <c r="J152" s="25" t="n">
        <f aca="false">(E152-E151)/E151</f>
        <v>0.0395822911455729</v>
      </c>
      <c r="L152" s="24" t="n">
        <f aca="false">MAX($B$2:B152)</f>
        <v>143.485795</v>
      </c>
      <c r="M152" s="25" t="n">
        <f aca="false">(B152-L152)/L152</f>
        <v>-0.0171178059821183</v>
      </c>
    </row>
    <row r="153" customFormat="false" ht="15" hidden="false" customHeight="false" outlineLevel="0" collapsed="false">
      <c r="A153" s="22" t="n">
        <v>45595</v>
      </c>
      <c r="B153" s="23" t="n">
        <v>139.11762</v>
      </c>
      <c r="C153" s="23" t="n">
        <v>569.819</v>
      </c>
      <c r="D153" s="23" t="n">
        <v>492.45986</v>
      </c>
      <c r="E153" s="23" t="n">
        <v>148.6</v>
      </c>
      <c r="G153" s="25" t="n">
        <f aca="false">(B153-B152)/B152</f>
        <v>-0.0135575265944286</v>
      </c>
      <c r="H153" s="25" t="n">
        <f aca="false">(C153-C152)/C152</f>
        <v>-0.00302511775039024</v>
      </c>
      <c r="I153" s="25" t="n">
        <f aca="false">(D153-D152)/D152</f>
        <v>-0.00755758235331687</v>
      </c>
      <c r="J153" s="25" t="n">
        <f aca="false">(E153-E152)/E152</f>
        <v>-0.106165413533835</v>
      </c>
      <c r="L153" s="24" t="n">
        <f aca="false">MAX($B$2:B153)</f>
        <v>143.485795</v>
      </c>
      <c r="M153" s="25" t="n">
        <f aca="false">(B153-L153)/L153</f>
        <v>-0.0304432574667061</v>
      </c>
    </row>
    <row r="154" customFormat="false" ht="15" hidden="false" customHeight="false" outlineLevel="0" collapsed="false">
      <c r="A154" s="22" t="n">
        <v>45596</v>
      </c>
      <c r="B154" s="23" t="n">
        <v>132.552878</v>
      </c>
      <c r="C154" s="23" t="n">
        <v>558.649</v>
      </c>
      <c r="D154" s="23" t="n">
        <v>480.028816</v>
      </c>
      <c r="E154" s="23" t="n">
        <v>144.07</v>
      </c>
      <c r="G154" s="25" t="n">
        <f aca="false">(B154-B153)/B153</f>
        <v>-0.0471884294742822</v>
      </c>
      <c r="H154" s="25" t="n">
        <f aca="false">(C154-C153)/C153</f>
        <v>-0.0196027159501525</v>
      </c>
      <c r="I154" s="25" t="n">
        <f aca="false">(D154-D153)/D153</f>
        <v>-0.025242755825825</v>
      </c>
      <c r="J154" s="25" t="n">
        <f aca="false">(E154-E153)/E153</f>
        <v>-0.0304845222072678</v>
      </c>
      <c r="L154" s="24" t="n">
        <f aca="false">MAX($B$2:B154)</f>
        <v>143.485795</v>
      </c>
      <c r="M154" s="25" t="n">
        <f aca="false">(B154-L154)/L154</f>
        <v>-0.0761951174330532</v>
      </c>
    </row>
    <row r="155" customFormat="false" ht="15" hidden="false" customHeight="false" outlineLevel="0" collapsed="false">
      <c r="A155" s="22" t="n">
        <v>45597</v>
      </c>
      <c r="B155" s="23" t="n">
        <v>135.188759</v>
      </c>
      <c r="C155" s="23" t="n">
        <v>561.006</v>
      </c>
      <c r="D155" s="23" t="n">
        <v>483.580543</v>
      </c>
      <c r="E155" s="23" t="n">
        <v>141.86</v>
      </c>
      <c r="G155" s="25" t="n">
        <f aca="false">(B155-B154)/B154</f>
        <v>0.0198855056168604</v>
      </c>
      <c r="H155" s="25" t="n">
        <f aca="false">(C155-C154)/C154</f>
        <v>0.00421910716747004</v>
      </c>
      <c r="I155" s="25" t="n">
        <f aca="false">(D155-D154)/D154</f>
        <v>0.00739898706414319</v>
      </c>
      <c r="J155" s="25" t="n">
        <f aca="false">(E155-E154)/E154</f>
        <v>-0.0153397653918233</v>
      </c>
      <c r="L155" s="24" t="n">
        <f aca="false">MAX($B$2:B155)</f>
        <v>143.485795</v>
      </c>
      <c r="M155" s="25" t="n">
        <f aca="false">(B155-L155)/L155</f>
        <v>-0.0578247902518852</v>
      </c>
    </row>
    <row r="156" customFormat="false" ht="15" hidden="false" customHeight="false" outlineLevel="0" collapsed="false">
      <c r="A156" s="22" t="n">
        <v>45600</v>
      </c>
      <c r="B156" s="23" t="n">
        <v>135.837745</v>
      </c>
      <c r="C156" s="23" t="n">
        <v>559.798</v>
      </c>
      <c r="D156" s="23" t="n">
        <v>482.171757</v>
      </c>
      <c r="E156" s="23" t="n">
        <v>140.71</v>
      </c>
      <c r="G156" s="25" t="n">
        <f aca="false">(B156-B155)/B155</f>
        <v>0.00480059144562462</v>
      </c>
      <c r="H156" s="25" t="n">
        <f aca="false">(C156-C155)/C155</f>
        <v>-0.00215327465303396</v>
      </c>
      <c r="I156" s="25" t="n">
        <f aca="false">(D156-D155)/D155</f>
        <v>-0.0029132396255239</v>
      </c>
      <c r="J156" s="25" t="n">
        <f aca="false">(E156-E155)/E155</f>
        <v>-0.00810658395601301</v>
      </c>
      <c r="L156" s="24" t="n">
        <f aca="false">MAX($B$2:B156)</f>
        <v>143.485795</v>
      </c>
      <c r="M156" s="25" t="n">
        <f aca="false">(B156-L156)/L156</f>
        <v>-0.0533017919996888</v>
      </c>
    </row>
    <row r="157" customFormat="false" ht="15" hidden="false" customHeight="false" outlineLevel="0" collapsed="false">
      <c r="A157" s="22" t="n">
        <v>45601</v>
      </c>
      <c r="B157" s="23" t="n">
        <v>139.691723</v>
      </c>
      <c r="C157" s="23" t="n">
        <v>566.567</v>
      </c>
      <c r="D157" s="23" t="n">
        <v>488.322793</v>
      </c>
      <c r="E157" s="23" t="n">
        <v>141.66</v>
      </c>
      <c r="G157" s="25" t="n">
        <f aca="false">(B157-B156)/B156</f>
        <v>0.0283719226935045</v>
      </c>
      <c r="H157" s="25" t="n">
        <f aca="false">(C157-C156)/C156</f>
        <v>0.0120918617072587</v>
      </c>
      <c r="I157" s="25" t="n">
        <f aca="false">(D157-D156)/D156</f>
        <v>0.0127569396396645</v>
      </c>
      <c r="J157" s="25" t="n">
        <f aca="false">(E157-E156)/E156</f>
        <v>0.00675147466420289</v>
      </c>
      <c r="L157" s="24" t="n">
        <f aca="false">MAX($B$2:B157)</f>
        <v>143.485795</v>
      </c>
      <c r="M157" s="25" t="n">
        <f aca="false">(B157-L157)/L157</f>
        <v>-0.0264421436282247</v>
      </c>
    </row>
    <row r="158" customFormat="false" ht="15" hidden="false" customHeight="false" outlineLevel="0" collapsed="false">
      <c r="A158" s="22" t="n">
        <v>45602</v>
      </c>
      <c r="B158" s="23" t="n">
        <v>145.382831</v>
      </c>
      <c r="C158" s="23" t="n">
        <v>580.655</v>
      </c>
      <c r="D158" s="23" t="n">
        <v>501.587204</v>
      </c>
      <c r="E158" s="23" t="n">
        <v>145.1</v>
      </c>
      <c r="G158" s="25" t="n">
        <f aca="false">(B158-B157)/B157</f>
        <v>0.0407404810949323</v>
      </c>
      <c r="H158" s="25" t="n">
        <f aca="false">(C158-C157)/C157</f>
        <v>0.0248655498820086</v>
      </c>
      <c r="I158" s="25" t="n">
        <f aca="false">(D158-D157)/D157</f>
        <v>0.0271632026809775</v>
      </c>
      <c r="J158" s="25" t="n">
        <f aca="false">(E158-E157)/E157</f>
        <v>0.024283495693915</v>
      </c>
      <c r="L158" s="24" t="n">
        <f aca="false">MAX($B$2:B158)</f>
        <v>145.382831</v>
      </c>
      <c r="M158" s="25" t="n">
        <f aca="false">(B158-L158)/L158</f>
        <v>0</v>
      </c>
    </row>
    <row r="159" customFormat="false" ht="15" hidden="false" customHeight="false" outlineLevel="0" collapsed="false">
      <c r="A159" s="22" t="n">
        <v>45603</v>
      </c>
      <c r="B159" s="23" t="n">
        <v>148.647729</v>
      </c>
      <c r="C159" s="23" t="n">
        <v>585.145</v>
      </c>
      <c r="D159" s="23" t="n">
        <v>509.48434</v>
      </c>
      <c r="E159" s="23" t="n">
        <v>149.82</v>
      </c>
      <c r="G159" s="25" t="n">
        <f aca="false">(B159-B158)/B158</f>
        <v>0.0224572460003891</v>
      </c>
      <c r="H159" s="25" t="n">
        <f aca="false">(C159-C158)/C158</f>
        <v>0.00773264675237449</v>
      </c>
      <c r="I159" s="25" t="n">
        <f aca="false">(D159-D158)/D158</f>
        <v>0.0157442931897441</v>
      </c>
      <c r="J159" s="25" t="n">
        <f aca="false">(E159-E158)/E158</f>
        <v>0.0325292901447278</v>
      </c>
      <c r="L159" s="24" t="n">
        <f aca="false">MAX($B$2:B159)</f>
        <v>148.647729</v>
      </c>
      <c r="M159" s="25" t="n">
        <f aca="false">(B159-L159)/L159</f>
        <v>0</v>
      </c>
    </row>
    <row r="160" customFormat="false" ht="15" hidden="false" customHeight="false" outlineLevel="0" collapsed="false">
      <c r="A160" s="22" t="n">
        <v>45604</v>
      </c>
      <c r="B160" s="23" t="n">
        <v>147.399679</v>
      </c>
      <c r="C160" s="23" t="n">
        <v>587.679</v>
      </c>
      <c r="D160" s="23" t="n">
        <v>510.079602</v>
      </c>
      <c r="E160" s="23" t="n">
        <v>147.95</v>
      </c>
      <c r="G160" s="25" t="n">
        <f aca="false">(B160-B159)/B159</f>
        <v>-0.00839602467118759</v>
      </c>
      <c r="H160" s="25" t="n">
        <f aca="false">(C160-C159)/C159</f>
        <v>0.00433055054730023</v>
      </c>
      <c r="I160" s="25" t="n">
        <f aca="false">(D160-D159)/D159</f>
        <v>0.00116836172040155</v>
      </c>
      <c r="J160" s="25" t="n">
        <f aca="false">(E160-E159)/E159</f>
        <v>-0.012481644640235</v>
      </c>
      <c r="L160" s="24" t="n">
        <f aca="false">MAX($B$2:B160)</f>
        <v>148.647729</v>
      </c>
      <c r="M160" s="25" t="n">
        <f aca="false">(B160-L160)/L160</f>
        <v>-0.00839602467118759</v>
      </c>
    </row>
    <row r="161" customFormat="false" ht="15" hidden="false" customHeight="false" outlineLevel="0" collapsed="false">
      <c r="A161" s="22" t="n">
        <v>45607</v>
      </c>
      <c r="B161" s="23" t="n">
        <v>145.033377</v>
      </c>
      <c r="C161" s="23" t="n">
        <v>588.239</v>
      </c>
      <c r="D161" s="23" t="n">
        <v>509.781971</v>
      </c>
      <c r="E161" s="23" t="n">
        <v>147.35</v>
      </c>
      <c r="G161" s="25" t="n">
        <f aca="false">(B161-B160)/B160</f>
        <v>-0.0160536441873797</v>
      </c>
      <c r="H161" s="25" t="n">
        <f aca="false">(C161-C160)/C160</f>
        <v>0.000952901158625813</v>
      </c>
      <c r="I161" s="25" t="n">
        <f aca="false">(D161-D160)/D160</f>
        <v>-0.000583499122162552</v>
      </c>
      <c r="J161" s="25" t="n">
        <f aca="false">(E161-E160)/E160</f>
        <v>-0.00405542412977353</v>
      </c>
      <c r="L161" s="24" t="n">
        <f aca="false">MAX($B$2:B161)</f>
        <v>148.647729</v>
      </c>
      <c r="M161" s="25" t="n">
        <f aca="false">(B161-L161)/L161</f>
        <v>-0.0243148820659076</v>
      </c>
    </row>
    <row r="162" customFormat="false" ht="15" hidden="false" customHeight="false" outlineLevel="0" collapsed="false">
      <c r="A162" s="22" t="n">
        <v>45608</v>
      </c>
      <c r="B162" s="23" t="n">
        <v>148.05865</v>
      </c>
      <c r="C162" s="23" t="n">
        <v>586.412</v>
      </c>
      <c r="D162" s="23" t="n">
        <v>508.859315</v>
      </c>
      <c r="E162" s="23" t="n">
        <v>143.63</v>
      </c>
      <c r="G162" s="25" t="n">
        <f aca="false">(B162-B161)/B161</f>
        <v>0.0208591502354661</v>
      </c>
      <c r="H162" s="25" t="n">
        <f aca="false">(C162-C161)/C161</f>
        <v>-0.00310588043295327</v>
      </c>
      <c r="I162" s="25" t="n">
        <f aca="false">(D162-D161)/D161</f>
        <v>-0.00180990315956077</v>
      </c>
      <c r="J162" s="25" t="n">
        <f aca="false">(E162-E161)/E161</f>
        <v>-0.0252460128944689</v>
      </c>
      <c r="L162" s="24" t="n">
        <f aca="false">MAX($B$2:B162)</f>
        <v>148.647729</v>
      </c>
      <c r="M162" s="25" t="n">
        <f aca="false">(B162-L162)/L162</f>
        <v>-0.0039629196084119</v>
      </c>
    </row>
    <row r="163" customFormat="false" ht="15" hidden="false" customHeight="false" outlineLevel="0" collapsed="false">
      <c r="A163" s="22" t="n">
        <v>45609</v>
      </c>
      <c r="B163" s="23" t="n">
        <v>146.041801</v>
      </c>
      <c r="C163" s="23" t="n">
        <v>586.697</v>
      </c>
      <c r="D163" s="23" t="n">
        <v>508.204528</v>
      </c>
      <c r="E163" s="23" t="n">
        <v>139.3</v>
      </c>
      <c r="G163" s="25" t="n">
        <f aca="false">(B163-B162)/B162</f>
        <v>-0.0136219599462781</v>
      </c>
      <c r="H163" s="25" t="n">
        <f aca="false">(C163-C162)/C162</f>
        <v>0.000486006425516477</v>
      </c>
      <c r="I163" s="25" t="n">
        <f aca="false">(D163-D162)/D162</f>
        <v>-0.00128677412537884</v>
      </c>
      <c r="J163" s="25" t="n">
        <f aca="false">(E163-E162)/E162</f>
        <v>-0.0301469052426372</v>
      </c>
      <c r="L163" s="24" t="n">
        <f aca="false">MAX($B$2:B163)</f>
        <v>148.647729</v>
      </c>
      <c r="M163" s="25" t="n">
        <f aca="false">(B163-L163)/L163</f>
        <v>-0.0175308968225139</v>
      </c>
    </row>
    <row r="164" customFormat="false" ht="15" hidden="false" customHeight="false" outlineLevel="0" collapsed="false">
      <c r="A164" s="22" t="n">
        <v>45610</v>
      </c>
      <c r="B164" s="23" t="n">
        <v>146.531037</v>
      </c>
      <c r="C164" s="23" t="n">
        <v>582.924</v>
      </c>
      <c r="D164" s="23" t="n">
        <v>504.672643</v>
      </c>
      <c r="E164" s="23" t="n">
        <v>138.84</v>
      </c>
      <c r="G164" s="25" t="n">
        <f aca="false">(B164-B163)/B163</f>
        <v>0.0033499723822223</v>
      </c>
      <c r="H164" s="25" t="n">
        <f aca="false">(C164-C163)/C163</f>
        <v>-0.00643091749233425</v>
      </c>
      <c r="I164" s="25" t="n">
        <f aca="false">(D164-D163)/D163</f>
        <v>-0.00694973146717022</v>
      </c>
      <c r="J164" s="25" t="n">
        <f aca="false">(E164-E163)/E163</f>
        <v>-0.00330222541277823</v>
      </c>
      <c r="L164" s="24" t="n">
        <f aca="false">MAX($B$2:B164)</f>
        <v>148.647729</v>
      </c>
      <c r="M164" s="25" t="n">
        <f aca="false">(B164-L164)/L164</f>
        <v>-0.0142396524604826</v>
      </c>
    </row>
    <row r="165" customFormat="false" ht="15" hidden="false" customHeight="false" outlineLevel="0" collapsed="false">
      <c r="A165" s="22" t="n">
        <v>45611</v>
      </c>
      <c r="B165" s="23" t="n">
        <v>141.758494</v>
      </c>
      <c r="C165" s="23" t="n">
        <v>575.458</v>
      </c>
      <c r="D165" s="23" t="n">
        <v>492.64836</v>
      </c>
      <c r="E165" s="23" t="n">
        <v>134.9</v>
      </c>
      <c r="G165" s="25" t="n">
        <f aca="false">(B165-B164)/B164</f>
        <v>-0.0325701851137516</v>
      </c>
      <c r="H165" s="25" t="n">
        <f aca="false">(C165-C164)/C164</f>
        <v>-0.0128078445903754</v>
      </c>
      <c r="I165" s="25" t="n">
        <f aca="false">(D165-D164)/D164</f>
        <v>-0.0238259060933485</v>
      </c>
      <c r="J165" s="25" t="n">
        <f aca="false">(E165-E164)/E164</f>
        <v>-0.0283779890521463</v>
      </c>
      <c r="L165" s="24" t="n">
        <f aca="false">MAX($B$2:B165)</f>
        <v>148.647729</v>
      </c>
      <c r="M165" s="25" t="n">
        <f aca="false">(B165-L165)/L165</f>
        <v>-0.0463460494576408</v>
      </c>
    </row>
    <row r="166" customFormat="false" ht="15" hidden="false" customHeight="false" outlineLevel="0" collapsed="false">
      <c r="A166" s="22" t="n">
        <v>45614</v>
      </c>
      <c r="B166" s="23" t="n">
        <v>139.931349</v>
      </c>
      <c r="C166" s="23" t="n">
        <v>577.816</v>
      </c>
      <c r="D166" s="23" t="n">
        <v>496.071114</v>
      </c>
      <c r="E166" s="23" t="n">
        <v>138.93</v>
      </c>
      <c r="G166" s="25" t="n">
        <f aca="false">(B166-B165)/B165</f>
        <v>-0.0128891394684258</v>
      </c>
      <c r="H166" s="25" t="n">
        <f aca="false">(C166-C165)/C165</f>
        <v>0.00409760573317264</v>
      </c>
      <c r="I166" s="25" t="n">
        <f aca="false">(D166-D165)/D165</f>
        <v>0.00694766141107218</v>
      </c>
      <c r="J166" s="25" t="n">
        <f aca="false">(E166-E165)/E165</f>
        <v>0.0298739807264641</v>
      </c>
      <c r="L166" s="24" t="n">
        <f aca="false">MAX($B$2:B166)</f>
        <v>148.647729</v>
      </c>
      <c r="M166" s="25" t="n">
        <f aca="false">(B166-L166)/L166</f>
        <v>-0.0586378282307965</v>
      </c>
    </row>
    <row r="167" customFormat="false" ht="15" hidden="false" customHeight="false" outlineLevel="0" collapsed="false">
      <c r="A167" s="22" t="n">
        <v>45615</v>
      </c>
      <c r="B167" s="23" t="n">
        <v>146.780646</v>
      </c>
      <c r="C167" s="23" t="n">
        <v>579.928</v>
      </c>
      <c r="D167" s="23" t="n">
        <v>499.483946</v>
      </c>
      <c r="E167" s="23" t="n">
        <v>139.39</v>
      </c>
      <c r="G167" s="25" t="n">
        <f aca="false">(B167-B166)/B166</f>
        <v>0.0489475521314382</v>
      </c>
      <c r="H167" s="25" t="n">
        <f aca="false">(C167-C166)/C166</f>
        <v>0.00365514281362919</v>
      </c>
      <c r="I167" s="25" t="n">
        <f aca="false">(D167-D166)/D166</f>
        <v>0.00687972329709159</v>
      </c>
      <c r="J167" s="25" t="n">
        <f aca="false">(E167-E166)/E166</f>
        <v>0.00331101993809818</v>
      </c>
      <c r="L167" s="24" t="n">
        <f aca="false">MAX($B$2:B167)</f>
        <v>148.647729</v>
      </c>
      <c r="M167" s="25" t="n">
        <f aca="false">(B167-L167)/L167</f>
        <v>-0.0125604542535595</v>
      </c>
    </row>
    <row r="168" customFormat="false" ht="15" hidden="false" customHeight="false" outlineLevel="0" collapsed="false">
      <c r="A168" s="22" t="n">
        <v>45616</v>
      </c>
      <c r="B168" s="23" t="n">
        <v>145.662394</v>
      </c>
      <c r="C168" s="23" t="n">
        <v>580.124</v>
      </c>
      <c r="D168" s="23" t="n">
        <v>499.196237</v>
      </c>
      <c r="E168" s="23" t="n">
        <v>137.6</v>
      </c>
      <c r="G168" s="25" t="n">
        <f aca="false">(B168-B167)/B167</f>
        <v>-0.00761852485647177</v>
      </c>
      <c r="H168" s="25" t="n">
        <f aca="false">(C168-C167)/C167</f>
        <v>0.000337972989750497</v>
      </c>
      <c r="I168" s="25" t="n">
        <f aca="false">(D168-D167)/D167</f>
        <v>-0.000576012507116709</v>
      </c>
      <c r="J168" s="25" t="n">
        <f aca="false">(E168-E167)/E167</f>
        <v>-0.0128416672645096</v>
      </c>
      <c r="L168" s="24" t="n">
        <f aca="false">MAX($B$2:B168)</f>
        <v>148.647729</v>
      </c>
      <c r="M168" s="25" t="n">
        <f aca="false">(B168-L168)/L168</f>
        <v>-0.0200832869770919</v>
      </c>
    </row>
    <row r="169" customFormat="false" ht="15" hidden="false" customHeight="false" outlineLevel="0" collapsed="false">
      <c r="A169" s="22" t="n">
        <v>45617</v>
      </c>
      <c r="B169" s="23" t="n">
        <v>146.441177</v>
      </c>
      <c r="C169" s="23" t="n">
        <v>583.239</v>
      </c>
      <c r="D169" s="23" t="n">
        <v>500.991942</v>
      </c>
      <c r="E169" s="23" t="n">
        <v>137.49</v>
      </c>
      <c r="G169" s="25" t="n">
        <f aca="false">(B169-B168)/B168</f>
        <v>0.00534649320675043</v>
      </c>
      <c r="H169" s="25" t="n">
        <f aca="false">(C169-C168)/C168</f>
        <v>0.00536954168419167</v>
      </c>
      <c r="I169" s="25" t="n">
        <f aca="false">(D169-D168)/D168</f>
        <v>0.00359719258060032</v>
      </c>
      <c r="J169" s="25" t="n">
        <f aca="false">(E169-E168)/E168</f>
        <v>-0.000799418604651055</v>
      </c>
      <c r="L169" s="24" t="n">
        <f aca="false">MAX($B$2:B169)</f>
        <v>148.647729</v>
      </c>
      <c r="M169" s="25" t="n">
        <f aca="false">(B169-L169)/L169</f>
        <v>-0.0148441689277338</v>
      </c>
    </row>
    <row r="170" customFormat="false" ht="15" hidden="false" customHeight="false" outlineLevel="0" collapsed="false">
      <c r="A170" s="22" t="n">
        <v>45618</v>
      </c>
      <c r="B170" s="23" t="n">
        <v>141.728541</v>
      </c>
      <c r="C170" s="23" t="n">
        <v>585.046</v>
      </c>
      <c r="D170" s="23" t="n">
        <v>501.795545</v>
      </c>
      <c r="E170" s="23" t="n">
        <v>138.35</v>
      </c>
      <c r="G170" s="25" t="n">
        <f aca="false">(B170-B169)/B169</f>
        <v>-0.0321810852421652</v>
      </c>
      <c r="H170" s="25" t="n">
        <f aca="false">(C170-C169)/C169</f>
        <v>0.00309821531139038</v>
      </c>
      <c r="I170" s="25" t="n">
        <f aca="false">(D170-D169)/D169</f>
        <v>0.00160402380284194</v>
      </c>
      <c r="J170" s="25" t="n">
        <f aca="false">(E170-E169)/E169</f>
        <v>0.0062550003636627</v>
      </c>
      <c r="L170" s="24" t="n">
        <f aca="false">MAX($B$2:B170)</f>
        <v>148.647729</v>
      </c>
      <c r="M170" s="25" t="n">
        <f aca="false">(B170-L170)/L170</f>
        <v>-0.0465475527042865</v>
      </c>
    </row>
    <row r="171" customFormat="false" ht="15" hidden="false" customHeight="false" outlineLevel="0" collapsed="false">
      <c r="A171" s="22" t="n">
        <v>45621</v>
      </c>
      <c r="B171" s="23" t="n">
        <v>135.807792</v>
      </c>
      <c r="C171" s="23" t="n">
        <v>587.031</v>
      </c>
      <c r="D171" s="23" t="n">
        <v>502.589227</v>
      </c>
      <c r="E171" s="23" t="n">
        <v>141.13</v>
      </c>
      <c r="G171" s="25" t="n">
        <f aca="false">(B171-B170)/B170</f>
        <v>-0.0417752765831407</v>
      </c>
      <c r="H171" s="25" t="n">
        <f aca="false">(C171-C170)/C170</f>
        <v>0.00339289560137134</v>
      </c>
      <c r="I171" s="25" t="n">
        <f aca="false">(D171-D170)/D170</f>
        <v>0.00158168403029563</v>
      </c>
      <c r="J171" s="25" t="n">
        <f aca="false">(E171-E170)/E170</f>
        <v>0.0200939645825804</v>
      </c>
      <c r="L171" s="24" t="n">
        <f aca="false">MAX($B$2:B171)</f>
        <v>148.647729</v>
      </c>
      <c r="M171" s="25" t="n">
        <f aca="false">(B171-L171)/L171</f>
        <v>-0.0863782923989373</v>
      </c>
    </row>
    <row r="172" customFormat="false" ht="15" hidden="false" customHeight="false" outlineLevel="0" collapsed="false">
      <c r="A172" s="22" t="n">
        <v>45622</v>
      </c>
      <c r="B172" s="23" t="n">
        <v>136.706388</v>
      </c>
      <c r="C172" s="23" t="n">
        <v>590.096</v>
      </c>
      <c r="D172" s="23" t="n">
        <v>505.287746</v>
      </c>
      <c r="E172" s="23" t="n">
        <v>137.72</v>
      </c>
      <c r="G172" s="25" t="n">
        <f aca="false">(B172-B171)/B171</f>
        <v>0.00661667483703732</v>
      </c>
      <c r="H172" s="25" t="n">
        <f aca="false">(C172-C171)/C171</f>
        <v>0.0052211893409378</v>
      </c>
      <c r="I172" s="25" t="n">
        <f aca="false">(D172-D171)/D171</f>
        <v>0.00536923367042253</v>
      </c>
      <c r="J172" s="25" t="n">
        <f aca="false">(E172-E171)/E171</f>
        <v>-0.0241621200311769</v>
      </c>
      <c r="L172" s="24" t="n">
        <f aca="false">MAX($B$2:B172)</f>
        <v>148.647729</v>
      </c>
      <c r="M172" s="25" t="n">
        <f aca="false">(B172-L172)/L172</f>
        <v>-0.0803331546356823</v>
      </c>
    </row>
    <row r="173" customFormat="false" ht="15" hidden="false" customHeight="false" outlineLevel="0" collapsed="false">
      <c r="A173" s="22" t="n">
        <v>45623</v>
      </c>
      <c r="B173" s="23" t="n">
        <v>135.128853</v>
      </c>
      <c r="C173" s="23" t="n">
        <v>588.308</v>
      </c>
      <c r="D173" s="23" t="n">
        <v>501.309415</v>
      </c>
      <c r="E173" s="23" t="n">
        <v>136.24</v>
      </c>
      <c r="G173" s="25" t="n">
        <f aca="false">(B173-B172)/B172</f>
        <v>-0.0115395851143402</v>
      </c>
      <c r="H173" s="25" t="n">
        <f aca="false">(C173-C172)/C172</f>
        <v>-0.00303001545511241</v>
      </c>
      <c r="I173" s="25" t="n">
        <f aca="false">(D173-D172)/D172</f>
        <v>-0.00787339695350543</v>
      </c>
      <c r="J173" s="25" t="n">
        <f aca="false">(E173-E172)/E172</f>
        <v>-0.0107464420563461</v>
      </c>
      <c r="L173" s="24" t="n">
        <f aca="false">MAX($B$2:B173)</f>
        <v>148.647729</v>
      </c>
      <c r="M173" s="25" t="n">
        <f aca="false">(B173-L173)/L173</f>
        <v>-0.0909457284746006</v>
      </c>
    </row>
    <row r="174" customFormat="false" ht="15" hidden="false" customHeight="false" outlineLevel="0" collapsed="false">
      <c r="A174" s="22" t="n">
        <v>45625</v>
      </c>
      <c r="B174" s="23" t="n">
        <v>138.034313</v>
      </c>
      <c r="C174" s="23" t="n">
        <v>591.963</v>
      </c>
      <c r="D174" s="23" t="n">
        <v>505.71435</v>
      </c>
      <c r="E174" s="23" t="n">
        <v>137.175</v>
      </c>
      <c r="G174" s="25" t="n">
        <f aca="false">(B174-B173)/B173</f>
        <v>0.0215014035529481</v>
      </c>
      <c r="H174" s="25" t="n">
        <f aca="false">(C174-C173)/C173</f>
        <v>0.00621273210631161</v>
      </c>
      <c r="I174" s="25" t="n">
        <f aca="false">(D174-D173)/D173</f>
        <v>0.00878685871080244</v>
      </c>
      <c r="J174" s="25" t="n">
        <f aca="false">(E174-E173)/E173</f>
        <v>0.00686288901937759</v>
      </c>
      <c r="L174" s="24" t="n">
        <f aca="false">MAX($B$2:B174)</f>
        <v>148.647729</v>
      </c>
      <c r="M174" s="25" t="n">
        <f aca="false">(B174-L174)/L174</f>
        <v>-0.0713997857310017</v>
      </c>
    </row>
    <row r="175" customFormat="false" ht="15" hidden="false" customHeight="false" outlineLevel="0" collapsed="false">
      <c r="A175" s="22" t="n">
        <v>45628</v>
      </c>
      <c r="B175" s="23" t="n">
        <v>138.41372</v>
      </c>
      <c r="C175" s="23" t="n">
        <v>593.024</v>
      </c>
      <c r="D175" s="23" t="n">
        <v>511.22052</v>
      </c>
      <c r="E175" s="23" t="n">
        <v>142.06</v>
      </c>
      <c r="G175" s="25" t="n">
        <f aca="false">(B175-B174)/B174</f>
        <v>0.00274864265090387</v>
      </c>
      <c r="H175" s="25" t="n">
        <f aca="false">(C175-C174)/C174</f>
        <v>0.00179234175108923</v>
      </c>
      <c r="I175" s="25" t="n">
        <f aca="false">(D175-D174)/D174</f>
        <v>0.0108879053956052</v>
      </c>
      <c r="J175" s="25" t="n">
        <f aca="false">(E175-E174)/E174</f>
        <v>0.0356114452341898</v>
      </c>
      <c r="L175" s="24" t="n">
        <f aca="false">MAX($B$2:B175)</f>
        <v>148.647729</v>
      </c>
      <c r="M175" s="25" t="n">
        <f aca="false">(B175-L175)/L175</f>
        <v>-0.0688473955764234</v>
      </c>
    </row>
    <row r="176" customFormat="false" ht="15" hidden="false" customHeight="false" outlineLevel="0" collapsed="false">
      <c r="A176" s="22" t="n">
        <v>45629</v>
      </c>
      <c r="B176" s="23" t="n">
        <v>140.041177</v>
      </c>
      <c r="C176" s="23" t="n">
        <v>593.299</v>
      </c>
      <c r="D176" s="23" t="n">
        <v>512.788042</v>
      </c>
      <c r="E176" s="23" t="n">
        <v>141.98</v>
      </c>
      <c r="G176" s="25" t="n">
        <f aca="false">(B176-B175)/B175</f>
        <v>0.0117579167729904</v>
      </c>
      <c r="H176" s="25" t="n">
        <f aca="false">(C176-C175)/C175</f>
        <v>0.000463724908266743</v>
      </c>
      <c r="I176" s="25" t="n">
        <f aca="false">(D176-D175)/D175</f>
        <v>0.00306623450873998</v>
      </c>
      <c r="J176" s="25" t="n">
        <f aca="false">(E176-E175)/E175</f>
        <v>-0.000563142334225063</v>
      </c>
      <c r="L176" s="24" t="n">
        <f aca="false">MAX($B$2:B176)</f>
        <v>148.647729</v>
      </c>
      <c r="M176" s="25" t="n">
        <f aca="false">(B176-L176)/L176</f>
        <v>-0.0578989807506578</v>
      </c>
    </row>
    <row r="177" customFormat="false" ht="15" hidden="false" customHeight="false" outlineLevel="0" collapsed="false">
      <c r="A177" s="22" t="n">
        <v>45630</v>
      </c>
      <c r="B177" s="23" t="n">
        <v>144.913564</v>
      </c>
      <c r="C177" s="23" t="n">
        <v>596.983</v>
      </c>
      <c r="D177" s="23" t="n">
        <v>519.127577</v>
      </c>
      <c r="E177" s="23" t="n">
        <v>143.99</v>
      </c>
      <c r="G177" s="25" t="n">
        <f aca="false">(B177-B176)/B176</f>
        <v>0.0347925310567763</v>
      </c>
      <c r="H177" s="25" t="n">
        <f aca="false">(C177-C176)/C176</f>
        <v>0.00620934806901742</v>
      </c>
      <c r="I177" s="25" t="n">
        <f aca="false">(D177-D176)/D176</f>
        <v>0.0123628760438215</v>
      </c>
      <c r="J177" s="25" t="n">
        <f aca="false">(E177-E176)/E176</f>
        <v>0.0141569235103537</v>
      </c>
      <c r="L177" s="24" t="n">
        <f aca="false">MAX($B$2:B177)</f>
        <v>148.647729</v>
      </c>
      <c r="M177" s="25" t="n">
        <f aca="false">(B177-L177)/L177</f>
        <v>-0.0251209017798045</v>
      </c>
    </row>
    <row r="178" customFormat="false" ht="15" hidden="false" customHeight="false" outlineLevel="0" collapsed="false">
      <c r="A178" s="22" t="n">
        <v>45631</v>
      </c>
      <c r="B178" s="23" t="n">
        <v>144.843668</v>
      </c>
      <c r="C178" s="23" t="n">
        <v>596.001</v>
      </c>
      <c r="D178" s="23" t="n">
        <v>517.689028</v>
      </c>
      <c r="E178" s="23" t="n">
        <v>141.36</v>
      </c>
      <c r="G178" s="25" t="n">
        <f aca="false">(B178-B177)/B177</f>
        <v>-0.000482328900557576</v>
      </c>
      <c r="H178" s="25" t="n">
        <f aca="false">(C178-C177)/C177</f>
        <v>-0.00164493796305753</v>
      </c>
      <c r="I178" s="25" t="n">
        <f aca="false">(D178-D177)/D177</f>
        <v>-0.00277108954279261</v>
      </c>
      <c r="J178" s="25" t="n">
        <f aca="false">(E178-E177)/E177</f>
        <v>-0.0182651573025904</v>
      </c>
      <c r="L178" s="24" t="n">
        <f aca="false">MAX($B$2:B178)</f>
        <v>148.647729</v>
      </c>
      <c r="M178" s="25" t="n">
        <f aca="false">(B178-L178)/L178</f>
        <v>-0.0255911141434256</v>
      </c>
    </row>
    <row r="179" customFormat="false" ht="15" hidden="false" customHeight="false" outlineLevel="0" collapsed="false">
      <c r="A179" s="22" t="n">
        <v>45632</v>
      </c>
      <c r="B179" s="23" t="n">
        <v>142.227576</v>
      </c>
      <c r="C179" s="23" t="n">
        <v>597.13</v>
      </c>
      <c r="D179" s="23" t="n">
        <v>522.322147</v>
      </c>
      <c r="E179" s="23" t="n">
        <v>138.59</v>
      </c>
      <c r="G179" s="25" t="n">
        <f aca="false">(B179-B178)/B178</f>
        <v>-0.0180614868162549</v>
      </c>
      <c r="H179" s="25" t="n">
        <f aca="false">(C179-C178)/C178</f>
        <v>0.00189429212367097</v>
      </c>
      <c r="I179" s="25" t="n">
        <f aca="false">(D179-D178)/D178</f>
        <v>0.00894961791618262</v>
      </c>
      <c r="J179" s="25" t="n">
        <f aca="false">(E179-E178)/E178</f>
        <v>-0.0195953593661574</v>
      </c>
      <c r="L179" s="24" t="n">
        <f aca="false">MAX($B$2:B179)</f>
        <v>148.647729</v>
      </c>
      <c r="M179" s="25" t="n">
        <f aca="false">(B179-L179)/L179</f>
        <v>-0.0431903873889658</v>
      </c>
    </row>
    <row r="180" customFormat="false" ht="15" hidden="false" customHeight="false" outlineLevel="0" collapsed="false">
      <c r="A180" s="22" t="n">
        <v>45635</v>
      </c>
      <c r="B180" s="23" t="n">
        <v>138.602989</v>
      </c>
      <c r="C180" s="23" t="n">
        <v>594.055</v>
      </c>
      <c r="D180" s="23" t="n">
        <v>518.254527</v>
      </c>
      <c r="E180" s="23" t="n">
        <v>130.87</v>
      </c>
      <c r="G180" s="25" t="n">
        <f aca="false">(B180-B179)/B179</f>
        <v>-0.0254844180146893</v>
      </c>
      <c r="H180" s="25" t="n">
        <f aca="false">(C180-C179)/C179</f>
        <v>-0.00514963240835337</v>
      </c>
      <c r="I180" s="25" t="n">
        <f aca="false">(D180-D179)/D179</f>
        <v>-0.00778756945950431</v>
      </c>
      <c r="J180" s="25" t="n">
        <f aca="false">(E180-E179)/E179</f>
        <v>-0.0557038747384371</v>
      </c>
      <c r="L180" s="24" t="n">
        <f aca="false">MAX($B$2:B180)</f>
        <v>148.647729</v>
      </c>
      <c r="M180" s="25" t="n">
        <f aca="false">(B180-L180)/L180</f>
        <v>-0.0675741235172183</v>
      </c>
    </row>
    <row r="181" customFormat="false" ht="15" hidden="false" customHeight="false" outlineLevel="0" collapsed="false">
      <c r="A181" s="22" t="n">
        <v>45636</v>
      </c>
      <c r="B181" s="23" t="n">
        <v>134.868567</v>
      </c>
      <c r="C181" s="23" t="n">
        <v>592.208</v>
      </c>
      <c r="D181" s="23" t="n">
        <v>516.488584</v>
      </c>
      <c r="E181" s="23" t="n">
        <v>127.74</v>
      </c>
      <c r="G181" s="25" t="n">
        <f aca="false">(B181-B180)/B180</f>
        <v>-0.0269433006239136</v>
      </c>
      <c r="H181" s="25" t="n">
        <f aca="false">(C181-C180)/C180</f>
        <v>-0.0031091397261196</v>
      </c>
      <c r="I181" s="25" t="n">
        <f aca="false">(D181-D180)/D180</f>
        <v>-0.00340748205369773</v>
      </c>
      <c r="J181" s="25" t="n">
        <f aca="false">(E181-E180)/E180</f>
        <v>-0.0239168640635746</v>
      </c>
      <c r="L181" s="24" t="n">
        <f aca="false">MAX($B$2:B181)</f>
        <v>148.647729</v>
      </c>
      <c r="M181" s="25" t="n">
        <f aca="false">(B181-L181)/L181</f>
        <v>-0.09269675421681</v>
      </c>
    </row>
    <row r="182" customFormat="false" ht="15" hidden="false" customHeight="false" outlineLevel="0" collapsed="false">
      <c r="A182" s="22" t="n">
        <v>45637</v>
      </c>
      <c r="B182" s="23" t="n">
        <v>139.102243</v>
      </c>
      <c r="C182" s="23" t="n">
        <v>596.786</v>
      </c>
      <c r="D182" s="23" t="n">
        <v>525.73498</v>
      </c>
      <c r="E182" s="23" t="n">
        <v>130.15</v>
      </c>
      <c r="G182" s="25" t="n">
        <f aca="false">(B182-B181)/B181</f>
        <v>0.0313911246643554</v>
      </c>
      <c r="H182" s="25" t="n">
        <f aca="false">(C182-C181)/C181</f>
        <v>0.00773039202442381</v>
      </c>
      <c r="I182" s="25" t="n">
        <f aca="false">(D182-D181)/D181</f>
        <v>0.0179024208597029</v>
      </c>
      <c r="J182" s="25" t="n">
        <f aca="false">(E182-E181)/E181</f>
        <v>0.0188664474714264</v>
      </c>
      <c r="L182" s="24" t="n">
        <f aca="false">MAX($B$2:B182)</f>
        <v>148.647729</v>
      </c>
      <c r="M182" s="25" t="n">
        <f aca="false">(B182-L182)/L182</f>
        <v>-0.0642154849200556</v>
      </c>
    </row>
    <row r="183" customFormat="false" ht="15" hidden="false" customHeight="false" outlineLevel="0" collapsed="false">
      <c r="A183" s="22" t="n">
        <v>45638</v>
      </c>
      <c r="B183" s="23" t="n">
        <v>137.135181</v>
      </c>
      <c r="C183" s="23" t="n">
        <v>593.711</v>
      </c>
      <c r="D183" s="23" t="n">
        <v>522.341989</v>
      </c>
      <c r="E183" s="23" t="n">
        <v>130.6</v>
      </c>
      <c r="G183" s="25" t="n">
        <f aca="false">(B183-B182)/B182</f>
        <v>-0.0141411235187631</v>
      </c>
      <c r="H183" s="25" t="n">
        <f aca="false">(C183-C182)/C182</f>
        <v>-0.00515260076476314</v>
      </c>
      <c r="I183" s="25" t="n">
        <f aca="false">(D183-D182)/D182</f>
        <v>-0.00645380491897256</v>
      </c>
      <c r="J183" s="25" t="n">
        <f aca="false">(E183-E182)/E182</f>
        <v>0.00345754898194382</v>
      </c>
      <c r="L183" s="24" t="n">
        <f aca="false">MAX($B$2:B183)</f>
        <v>148.647729</v>
      </c>
      <c r="M183" s="25" t="n">
        <f aca="false">(B183-L183)/L183</f>
        <v>-0.0774485293347469</v>
      </c>
    </row>
    <row r="184" customFormat="false" ht="15" hidden="false" customHeight="false" outlineLevel="0" collapsed="false">
      <c r="A184" s="22" t="n">
        <v>45639</v>
      </c>
      <c r="B184" s="23" t="n">
        <v>134.04979</v>
      </c>
      <c r="C184" s="23" t="n">
        <v>593.594</v>
      </c>
      <c r="D184" s="23" t="n">
        <v>526.340162</v>
      </c>
      <c r="E184" s="23" t="n">
        <v>126.91</v>
      </c>
      <c r="G184" s="25" t="n">
        <f aca="false">(B184-B183)/B183</f>
        <v>-0.0224989020140644</v>
      </c>
      <c r="H184" s="25" t="n">
        <f aca="false">(C184-C183)/C183</f>
        <v>-0.000197065575675643</v>
      </c>
      <c r="I184" s="25" t="n">
        <f aca="false">(D184-D183)/D183</f>
        <v>0.00765432051069506</v>
      </c>
      <c r="J184" s="25" t="n">
        <f aca="false">(E184-E183)/E183</f>
        <v>-0.0282542113323124</v>
      </c>
      <c r="L184" s="24" t="n">
        <f aca="false">MAX($B$2:B184)</f>
        <v>148.647729</v>
      </c>
      <c r="M184" s="25" t="n">
        <f aca="false">(B184-L184)/L184</f>
        <v>-0.0982049244761755</v>
      </c>
    </row>
    <row r="185" customFormat="false" ht="15" hidden="false" customHeight="false" outlineLevel="0" collapsed="false">
      <c r="A185" s="22" t="n">
        <v>45642</v>
      </c>
      <c r="B185" s="23" t="n">
        <v>131.803145</v>
      </c>
      <c r="C185" s="23" t="n">
        <v>596.128</v>
      </c>
      <c r="D185" s="23" t="n">
        <v>533.919826</v>
      </c>
      <c r="E185" s="23" t="n">
        <v>126.69</v>
      </c>
      <c r="G185" s="25" t="n">
        <f aca="false">(B185-B184)/B184</f>
        <v>-0.0167597800787305</v>
      </c>
      <c r="H185" s="25" t="n">
        <f aca="false">(C185-C184)/C184</f>
        <v>0.00426891107389898</v>
      </c>
      <c r="I185" s="25" t="n">
        <f aca="false">(D185-D184)/D184</f>
        <v>0.0144006947355083</v>
      </c>
      <c r="J185" s="25" t="n">
        <f aca="false">(E185-E184)/E184</f>
        <v>-0.00173351193759356</v>
      </c>
      <c r="L185" s="24" t="n">
        <f aca="false">MAX($B$2:B185)</f>
        <v>148.647729</v>
      </c>
      <c r="M185" s="25" t="n">
        <f aca="false">(B185-L185)/L185</f>
        <v>-0.113318811618037</v>
      </c>
    </row>
    <row r="186" customFormat="false" ht="15" hidden="false" customHeight="false" outlineLevel="0" collapsed="false">
      <c r="A186" s="22" t="n">
        <v>45643</v>
      </c>
      <c r="B186" s="23" t="n">
        <v>130.195546</v>
      </c>
      <c r="C186" s="23" t="n">
        <v>593.672</v>
      </c>
      <c r="D186" s="23" t="n">
        <v>531.568543</v>
      </c>
      <c r="E186" s="23" t="n">
        <v>125.02</v>
      </c>
      <c r="G186" s="25" t="n">
        <f aca="false">(B186-B185)/B185</f>
        <v>-0.0121969699584937</v>
      </c>
      <c r="H186" s="25" t="n">
        <f aca="false">(C186-C185)/C185</f>
        <v>-0.00411992055397501</v>
      </c>
      <c r="I186" s="25" t="n">
        <f aca="false">(D186-D185)/D185</f>
        <v>-0.00440381286758954</v>
      </c>
      <c r="J186" s="25" t="n">
        <f aca="false">(E186-E185)/E185</f>
        <v>-0.0131817823032599</v>
      </c>
      <c r="L186" s="24" t="n">
        <f aca="false">MAX($B$2:B186)</f>
        <v>148.647729</v>
      </c>
      <c r="M186" s="25" t="n">
        <f aca="false">(B186-L186)/L186</f>
        <v>-0.124133635435493</v>
      </c>
    </row>
    <row r="187" customFormat="false" ht="15" hidden="false" customHeight="false" outlineLevel="0" collapsed="false">
      <c r="A187" s="22" t="n">
        <v>45644</v>
      </c>
      <c r="B187" s="23" t="n">
        <v>128.717753</v>
      </c>
      <c r="C187" s="23" t="n">
        <v>575.979</v>
      </c>
      <c r="D187" s="23" t="n">
        <v>512.391201</v>
      </c>
      <c r="E187" s="23" t="n">
        <v>121.41</v>
      </c>
      <c r="G187" s="25" t="n">
        <f aca="false">(B187-B186)/B186</f>
        <v>-0.0113505649417532</v>
      </c>
      <c r="H187" s="25" t="n">
        <f aca="false">(C187-C186)/C186</f>
        <v>-0.0298026519694376</v>
      </c>
      <c r="I187" s="25" t="n">
        <f aca="false">(D187-D186)/D186</f>
        <v>-0.0360768940384795</v>
      </c>
      <c r="J187" s="25" t="n">
        <f aca="false">(E187-E186)/E186</f>
        <v>-0.0288753799392097</v>
      </c>
      <c r="L187" s="24" t="n">
        <f aca="false">MAX($B$2:B187)</f>
        <v>148.647729</v>
      </c>
      <c r="M187" s="25" t="n">
        <f aca="false">(B187-L187)/L187</f>
        <v>-0.13407521348678</v>
      </c>
    </row>
    <row r="188" customFormat="false" ht="15" hidden="false" customHeight="false" outlineLevel="0" collapsed="false">
      <c r="A188" s="22" t="n">
        <v>45645</v>
      </c>
      <c r="B188" s="23" t="n">
        <v>130.485114</v>
      </c>
      <c r="C188" s="23" t="n">
        <v>575.802</v>
      </c>
      <c r="D188" s="23" t="n">
        <v>510.109365</v>
      </c>
      <c r="E188" s="23" t="n">
        <v>118.88</v>
      </c>
      <c r="G188" s="25" t="n">
        <f aca="false">(B188-B187)/B187</f>
        <v>0.0137305147021951</v>
      </c>
      <c r="H188" s="25" t="n">
        <f aca="false">(C188-C187)/C187</f>
        <v>-0.000307302870417187</v>
      </c>
      <c r="I188" s="25" t="n">
        <f aca="false">(D188-D187)/D187</f>
        <v>-0.00445330832291165</v>
      </c>
      <c r="J188" s="25" t="n">
        <f aca="false">(E188-E187)/E187</f>
        <v>-0.0208384811794745</v>
      </c>
      <c r="L188" s="24" t="n">
        <f aca="false">MAX($B$2:B188)</f>
        <v>148.647729</v>
      </c>
      <c r="M188" s="25" t="n">
        <f aca="false">(B188-L188)/L188</f>
        <v>-0.122185620474565</v>
      </c>
    </row>
    <row r="189" customFormat="false" ht="15" hidden="false" customHeight="false" outlineLevel="0" collapsed="false">
      <c r="A189" s="22" t="n">
        <v>45646</v>
      </c>
      <c r="B189" s="23" t="n">
        <v>134.499118</v>
      </c>
      <c r="C189" s="23" t="n">
        <v>582.694</v>
      </c>
      <c r="D189" s="23" t="n">
        <v>514.563905</v>
      </c>
      <c r="E189" s="23" t="n">
        <v>119.21</v>
      </c>
      <c r="G189" s="25" t="n">
        <f aca="false">(B189-B188)/B188</f>
        <v>0.0307621603488042</v>
      </c>
      <c r="H189" s="25" t="n">
        <f aca="false">(C189-C188)/C188</f>
        <v>0.0119693922563658</v>
      </c>
      <c r="I189" s="25" t="n">
        <f aca="false">(D189-D188)/D188</f>
        <v>0.00873251954509785</v>
      </c>
      <c r="J189" s="25" t="n">
        <f aca="false">(E189-E188)/E188</f>
        <v>0.00277590847913861</v>
      </c>
      <c r="L189" s="24" t="n">
        <f aca="false">MAX($B$2:B189)</f>
        <v>148.647729</v>
      </c>
      <c r="M189" s="25" t="n">
        <f aca="false">(B189-L189)/L189</f>
        <v>-0.0951821537751175</v>
      </c>
    </row>
    <row r="190" customFormat="false" ht="15" hidden="false" customHeight="false" outlineLevel="0" collapsed="false">
      <c r="A190" s="22" t="n">
        <v>45649</v>
      </c>
      <c r="B190" s="23" t="n">
        <v>139.461707</v>
      </c>
      <c r="C190" s="23" t="n">
        <v>586.183</v>
      </c>
      <c r="D190" s="23" t="n">
        <v>519.576792</v>
      </c>
      <c r="E190" s="23" t="n">
        <v>124.6</v>
      </c>
      <c r="G190" s="25" t="n">
        <f aca="false">(B190-B189)/B189</f>
        <v>0.0368968144460247</v>
      </c>
      <c r="H190" s="25" t="n">
        <f aca="false">(C190-C189)/C189</f>
        <v>0.00598770538224185</v>
      </c>
      <c r="I190" s="25" t="n">
        <f aca="false">(D190-D189)/D189</f>
        <v>0.00974201056718111</v>
      </c>
      <c r="J190" s="25" t="n">
        <f aca="false">(E190-E189)/E189</f>
        <v>0.0452143276570758</v>
      </c>
      <c r="L190" s="24" t="n">
        <f aca="false">MAX($B$2:B190)</f>
        <v>148.647729</v>
      </c>
      <c r="M190" s="25" t="n">
        <f aca="false">(B190-L190)/L190</f>
        <v>-0.0617972575955063</v>
      </c>
    </row>
    <row r="191" customFormat="false" ht="15" hidden="false" customHeight="false" outlineLevel="0" collapsed="false">
      <c r="A191" s="22" t="n">
        <v>45650</v>
      </c>
      <c r="B191" s="23" t="n">
        <v>140.010886</v>
      </c>
      <c r="C191" s="23" t="n">
        <v>592.699</v>
      </c>
      <c r="D191" s="23" t="n">
        <v>526.622137</v>
      </c>
      <c r="E191" s="23" t="n">
        <v>126.29</v>
      </c>
      <c r="G191" s="25" t="n">
        <f aca="false">(B191-B190)/B190</f>
        <v>0.0039378479714149</v>
      </c>
      <c r="H191" s="25" t="n">
        <f aca="false">(C191-C190)/C190</f>
        <v>0.0111159825515239</v>
      </c>
      <c r="I191" s="25" t="n">
        <f aca="false">(D191-D190)/D190</f>
        <v>0.0135597761649061</v>
      </c>
      <c r="J191" s="25" t="n">
        <f aca="false">(E191-E190)/E190</f>
        <v>0.0135634028892457</v>
      </c>
      <c r="L191" s="24" t="n">
        <f aca="false">MAX($B$2:B191)</f>
        <v>148.647729</v>
      </c>
      <c r="M191" s="25" t="n">
        <f aca="false">(B191-L191)/L191</f>
        <v>-0.0581027578295528</v>
      </c>
    </row>
    <row r="192" customFormat="false" ht="15" hidden="false" customHeight="false" outlineLevel="0" collapsed="false">
      <c r="A192" s="22" t="n">
        <v>45652</v>
      </c>
      <c r="B192" s="23" t="n">
        <v>139.721319</v>
      </c>
      <c r="C192" s="23" t="n">
        <v>592.738</v>
      </c>
      <c r="D192" s="23" t="n">
        <v>526.264404</v>
      </c>
      <c r="E192" s="23" t="n">
        <v>125.06</v>
      </c>
      <c r="G192" s="25" t="n">
        <f aca="false">(B192-B191)/B191</f>
        <v>-0.00206817489891468</v>
      </c>
      <c r="H192" s="25" t="n">
        <f aca="false">(C192-C191)/C191</f>
        <v>6.58006846647303E-005</v>
      </c>
      <c r="I192" s="25" t="n">
        <f aca="false">(D192-D191)/D191</f>
        <v>-0.000679297308004998</v>
      </c>
      <c r="J192" s="25" t="n">
        <f aca="false">(E192-E191)/E191</f>
        <v>-0.00973948847889781</v>
      </c>
      <c r="L192" s="24" t="n">
        <f aca="false">MAX($B$2:B192)</f>
        <v>148.647729</v>
      </c>
      <c r="M192" s="25" t="n">
        <f aca="false">(B192-L192)/L192</f>
        <v>-0.0600507660631667</v>
      </c>
    </row>
    <row r="193" customFormat="false" ht="15" hidden="false" customHeight="false" outlineLevel="0" collapsed="false">
      <c r="A193" s="22" t="n">
        <v>45653</v>
      </c>
      <c r="B193" s="23" t="n">
        <v>136.805673</v>
      </c>
      <c r="C193" s="23" t="n">
        <v>586.499</v>
      </c>
      <c r="D193" s="23" t="n">
        <v>519.268745</v>
      </c>
      <c r="E193" s="23" t="n">
        <v>125.19</v>
      </c>
      <c r="G193" s="25" t="n">
        <f aca="false">(B193-B192)/B192</f>
        <v>-0.02086758141755</v>
      </c>
      <c r="H193" s="25" t="n">
        <f aca="false">(C193-C192)/C192</f>
        <v>-0.0105257297490629</v>
      </c>
      <c r="I193" s="25" t="n">
        <f aca="false">(D193-D192)/D192</f>
        <v>-0.0132930499323683</v>
      </c>
      <c r="J193" s="25" t="n">
        <f aca="false">(E193-E192)/E192</f>
        <v>0.001039501039501</v>
      </c>
      <c r="L193" s="24" t="n">
        <f aca="false">MAX($B$2:B193)</f>
        <v>148.647729</v>
      </c>
      <c r="M193" s="25" t="n">
        <f aca="false">(B193-L193)/L193</f>
        <v>-0.0796652332307074</v>
      </c>
    </row>
    <row r="194" customFormat="false" ht="15" hidden="false" customHeight="false" outlineLevel="0" collapsed="false">
      <c r="A194" s="22" t="n">
        <v>45656</v>
      </c>
      <c r="B194" s="23" t="n">
        <v>137.284958</v>
      </c>
      <c r="C194" s="23" t="n">
        <v>579.806</v>
      </c>
      <c r="D194" s="23" t="n">
        <v>512.362518</v>
      </c>
      <c r="E194" s="23" t="n">
        <v>122.44</v>
      </c>
      <c r="G194" s="25" t="n">
        <f aca="false">(B194-B193)/B193</f>
        <v>0.0035034000380962</v>
      </c>
      <c r="H194" s="25" t="n">
        <f aca="false">(C194-C193)/C193</f>
        <v>-0.0114117841633148</v>
      </c>
      <c r="I194" s="25" t="n">
        <f aca="false">(D194-D193)/D193</f>
        <v>-0.0132999088939966</v>
      </c>
      <c r="J194" s="25" t="n">
        <f aca="false">(E194-E193)/E193</f>
        <v>-0.0219666107516575</v>
      </c>
      <c r="L194" s="24" t="n">
        <f aca="false">MAX($B$2:B194)</f>
        <v>148.647729</v>
      </c>
      <c r="M194" s="25" t="n">
        <f aca="false">(B194-L194)/L194</f>
        <v>-0.0764409323737466</v>
      </c>
    </row>
    <row r="195" customFormat="false" ht="15" hidden="false" customHeight="false" outlineLevel="0" collapsed="false">
      <c r="A195" s="22" t="n">
        <v>45657</v>
      </c>
      <c r="B195" s="23" t="n">
        <v>134.08973</v>
      </c>
      <c r="C195" s="23" t="n">
        <v>577.697</v>
      </c>
      <c r="D195" s="23" t="n">
        <v>508.010105</v>
      </c>
      <c r="E195" s="23" t="n">
        <v>120.79</v>
      </c>
      <c r="G195" s="25" t="n">
        <f aca="false">(B195-B194)/B194</f>
        <v>-0.023274421659509</v>
      </c>
      <c r="H195" s="25" t="n">
        <f aca="false">(C195-C194)/C194</f>
        <v>-0.00363742355201574</v>
      </c>
      <c r="I195" s="25" t="n">
        <f aca="false">(D195-D194)/D194</f>
        <v>-0.0084947919629047</v>
      </c>
      <c r="J195" s="25" t="n">
        <f aca="false">(E195-E194)/E194</f>
        <v>-0.0134759882391375</v>
      </c>
      <c r="L195" s="24" t="n">
        <f aca="false">MAX($B$2:B195)</f>
        <v>148.647729</v>
      </c>
      <c r="M195" s="25" t="n">
        <f aca="false">(B195-L195)/L195</f>
        <v>-0.097936235541143</v>
      </c>
    </row>
    <row r="196" customFormat="false" ht="15" hidden="false" customHeight="false" outlineLevel="0" collapsed="false">
      <c r="A196" s="22" t="n">
        <v>45659</v>
      </c>
      <c r="B196" s="23" t="n">
        <v>138.103735</v>
      </c>
      <c r="C196" s="23" t="n">
        <v>576.277</v>
      </c>
      <c r="D196" s="23" t="n">
        <v>507.016403</v>
      </c>
      <c r="E196" s="23" t="n">
        <v>120.63</v>
      </c>
      <c r="G196" s="25" t="n">
        <f aca="false">(B196-B195)/B195</f>
        <v>0.029935215769321</v>
      </c>
      <c r="H196" s="25" t="n">
        <f aca="false">(C196-C195)/C195</f>
        <v>-0.00245803596002742</v>
      </c>
      <c r="I196" s="25" t="n">
        <f aca="false">(D196-D195)/D195</f>
        <v>-0.00195606738964373</v>
      </c>
      <c r="J196" s="25" t="n">
        <f aca="false">(E196-E195)/E195</f>
        <v>-0.00132461296464948</v>
      </c>
      <c r="L196" s="24" t="n">
        <f aca="false">MAX($B$2:B196)</f>
        <v>148.647729</v>
      </c>
      <c r="M196" s="25" t="n">
        <f aca="false">(B196-L196)/L196</f>
        <v>-0.0709327621143812</v>
      </c>
    </row>
    <row r="197" customFormat="false" ht="15" hidden="false" customHeight="false" outlineLevel="0" collapsed="false">
      <c r="A197" s="22" t="n">
        <v>45660</v>
      </c>
      <c r="B197" s="23" t="n">
        <v>144.254548</v>
      </c>
      <c r="C197" s="23" t="n">
        <v>583.483</v>
      </c>
      <c r="D197" s="23" t="n">
        <v>515.313812</v>
      </c>
      <c r="E197" s="23" t="n">
        <v>125.37</v>
      </c>
      <c r="G197" s="25" t="n">
        <f aca="false">(B197-B196)/B196</f>
        <v>0.0445376296303644</v>
      </c>
      <c r="H197" s="25" t="n">
        <f aca="false">(C197-C196)/C196</f>
        <v>0.0125044032644022</v>
      </c>
      <c r="I197" s="25" t="n">
        <f aca="false">(D197-D196)/D196</f>
        <v>0.016365168761611</v>
      </c>
      <c r="J197" s="25" t="n">
        <f aca="false">(E197-E196)/E196</f>
        <v>0.0392937080328277</v>
      </c>
      <c r="L197" s="24" t="n">
        <f aca="false">MAX($B$2:B197)</f>
        <v>148.647729</v>
      </c>
      <c r="M197" s="25" t="n">
        <f aca="false">(B197-L197)/L197</f>
        <v>-0.0295543095717258</v>
      </c>
    </row>
    <row r="198" customFormat="false" ht="15" hidden="false" customHeight="false" outlineLevel="0" collapsed="false">
      <c r="A198" s="22" t="n">
        <v>45663</v>
      </c>
      <c r="B198" s="23" t="n">
        <v>149.207151</v>
      </c>
      <c r="C198" s="23" t="n">
        <v>586.844</v>
      </c>
      <c r="D198" s="23" t="n">
        <v>521.236274</v>
      </c>
      <c r="E198" s="23" t="n">
        <v>129.55</v>
      </c>
      <c r="G198" s="25" t="n">
        <f aca="false">(B198-B197)/B197</f>
        <v>0.0343323872187379</v>
      </c>
      <c r="H198" s="25" t="n">
        <f aca="false">(C198-C197)/C197</f>
        <v>0.00576023637363917</v>
      </c>
      <c r="I198" s="25" t="n">
        <f aca="false">(D198-D197)/D197</f>
        <v>0.0114929230734456</v>
      </c>
      <c r="J198" s="25" t="n">
        <f aca="false">(E198-E197)/E197</f>
        <v>0.0333413097232193</v>
      </c>
      <c r="L198" s="24" t="n">
        <f aca="false">MAX($B$2:B198)</f>
        <v>149.207151</v>
      </c>
      <c r="M198" s="25" t="n">
        <f aca="false">(B198-L198)/L198</f>
        <v>0</v>
      </c>
    </row>
    <row r="199" customFormat="false" ht="15" hidden="false" customHeight="false" outlineLevel="0" collapsed="false">
      <c r="A199" s="22" t="n">
        <v>45664</v>
      </c>
      <c r="B199" s="23" t="n">
        <v>139.931006</v>
      </c>
      <c r="C199" s="23" t="n">
        <v>580.21</v>
      </c>
      <c r="D199" s="23" t="n">
        <v>511.935226</v>
      </c>
      <c r="E199" s="23" t="n">
        <v>127.33</v>
      </c>
      <c r="G199" s="25" t="n">
        <f aca="false">(B199-B198)/B198</f>
        <v>-0.0621695738966292</v>
      </c>
      <c r="H199" s="25" t="n">
        <f aca="false">(C199-C198)/C198</f>
        <v>-0.0113045374920763</v>
      </c>
      <c r="I199" s="25" t="n">
        <f aca="false">(D199-D198)/D198</f>
        <v>-0.0178442070591579</v>
      </c>
      <c r="J199" s="25" t="n">
        <f aca="false">(E199-E198)/E198</f>
        <v>-0.0171362408336551</v>
      </c>
      <c r="L199" s="24" t="n">
        <f aca="false">MAX($B$2:B199)</f>
        <v>149.207151</v>
      </c>
      <c r="M199" s="25" t="n">
        <f aca="false">(B199-L199)/L199</f>
        <v>-0.0621695738966292</v>
      </c>
    </row>
    <row r="200" customFormat="false" ht="15" hidden="false" customHeight="false" outlineLevel="0" collapsed="false">
      <c r="A200" s="22" t="n">
        <v>45665</v>
      </c>
      <c r="B200" s="23" t="n">
        <v>139.90105</v>
      </c>
      <c r="C200" s="23" t="n">
        <v>581.058</v>
      </c>
      <c r="D200" s="23" t="n">
        <v>512.02466</v>
      </c>
      <c r="E200" s="23" t="n">
        <v>121.84</v>
      </c>
      <c r="G200" s="25" t="n">
        <f aca="false">(B200-B199)/B199</f>
        <v>-0.000214076928740143</v>
      </c>
      <c r="H200" s="25" t="n">
        <f aca="false">(C200-C199)/C199</f>
        <v>0.00146153978731831</v>
      </c>
      <c r="I200" s="25" t="n">
        <f aca="false">(D200-D199)/D199</f>
        <v>0.000174697882579465</v>
      </c>
      <c r="J200" s="25" t="n">
        <f aca="false">(E200-E199)/E199</f>
        <v>-0.0431163119453388</v>
      </c>
      <c r="L200" s="24" t="n">
        <f aca="false">MAX($B$2:B200)</f>
        <v>149.207151</v>
      </c>
      <c r="M200" s="25" t="n">
        <f aca="false">(B200-L200)/L200</f>
        <v>-0.0623703417539285</v>
      </c>
    </row>
    <row r="201" customFormat="false" ht="15" hidden="false" customHeight="false" outlineLevel="0" collapsed="false">
      <c r="A201" s="22" t="n">
        <v>45667</v>
      </c>
      <c r="B201" s="23" t="n">
        <v>135.707314</v>
      </c>
      <c r="C201" s="23" t="n">
        <v>572.187</v>
      </c>
      <c r="D201" s="23" t="n">
        <v>503.99555</v>
      </c>
      <c r="E201" s="23" t="n">
        <v>116.04</v>
      </c>
      <c r="G201" s="25" t="n">
        <f aca="false">(B201-B200)/B200</f>
        <v>-0.0299764440652876</v>
      </c>
      <c r="H201" s="25" t="n">
        <f aca="false">(C201-C200)/C200</f>
        <v>-0.0152669785116115</v>
      </c>
      <c r="I201" s="25" t="n">
        <f aca="false">(D201-D200)/D200</f>
        <v>-0.0156811002032599</v>
      </c>
      <c r="J201" s="25" t="n">
        <f aca="false">(E201-E200)/E200</f>
        <v>-0.0476034143138542</v>
      </c>
      <c r="L201" s="24" t="n">
        <f aca="false">MAX($B$2:B201)</f>
        <v>149.207151</v>
      </c>
      <c r="M201" s="25" t="n">
        <f aca="false">(B201-L201)/L201</f>
        <v>-0.0904771447582966</v>
      </c>
    </row>
    <row r="202" customFormat="false" ht="15" hidden="false" customHeight="false" outlineLevel="0" collapsed="false">
      <c r="A202" s="22" t="n">
        <v>45670</v>
      </c>
      <c r="B202" s="23" t="n">
        <v>133.031311</v>
      </c>
      <c r="C202" s="23" t="n">
        <v>573.074</v>
      </c>
      <c r="D202" s="23" t="n">
        <v>502.375816</v>
      </c>
      <c r="E202" s="23" t="n">
        <v>117.32</v>
      </c>
      <c r="G202" s="25" t="n">
        <f aca="false">(B202-B201)/B201</f>
        <v>-0.0197189298139083</v>
      </c>
      <c r="H202" s="25" t="n">
        <f aca="false">(C202-C201)/C201</f>
        <v>0.00155019250699499</v>
      </c>
      <c r="I202" s="25" t="n">
        <f aca="false">(D202-D201)/D201</f>
        <v>-0.00321378631220056</v>
      </c>
      <c r="J202" s="25" t="n">
        <f aca="false">(E202-E201)/E201</f>
        <v>0.0110306790761805</v>
      </c>
      <c r="L202" s="24" t="n">
        <f aca="false">MAX($B$2:B202)</f>
        <v>149.207151</v>
      </c>
      <c r="M202" s="25" t="n">
        <f aca="false">(B202-L202)/L202</f>
        <v>-0.108411962104953</v>
      </c>
    </row>
    <row r="203" customFormat="false" ht="15" hidden="false" customHeight="false" outlineLevel="0" collapsed="false">
      <c r="A203" s="22" t="n">
        <v>45671</v>
      </c>
      <c r="B203" s="23" t="n">
        <v>131.563503</v>
      </c>
      <c r="C203" s="23" t="n">
        <v>573.862</v>
      </c>
      <c r="D203" s="23" t="n">
        <v>501.898839</v>
      </c>
      <c r="E203" s="23" t="n">
        <v>116.09</v>
      </c>
      <c r="G203" s="25" t="n">
        <f aca="false">(B203-B202)/B202</f>
        <v>-0.0110335528453147</v>
      </c>
      <c r="H203" s="25" t="n">
        <f aca="false">(C203-C202)/C202</f>
        <v>0.00137504057067676</v>
      </c>
      <c r="I203" s="25" t="n">
        <f aca="false">(D203-D202)/D202</f>
        <v>-0.000949442598168334</v>
      </c>
      <c r="J203" s="25" t="n">
        <f aca="false">(E203-E202)/E202</f>
        <v>-0.0104841459256733</v>
      </c>
      <c r="L203" s="24" t="n">
        <f aca="false">MAX($B$2:B203)</f>
        <v>149.207151</v>
      </c>
      <c r="M203" s="25" t="n">
        <f aca="false">(B203-L203)/L203</f>
        <v>-0.118249345837319</v>
      </c>
    </row>
    <row r="204" customFormat="false" ht="15" hidden="false" customHeight="false" outlineLevel="0" collapsed="false">
      <c r="A204" s="22" t="n">
        <v>45672</v>
      </c>
      <c r="B204" s="23" t="n">
        <v>136.036822</v>
      </c>
      <c r="C204" s="23" t="n">
        <v>584.301</v>
      </c>
      <c r="D204" s="23" t="n">
        <v>513.445653</v>
      </c>
      <c r="E204" s="23" t="n">
        <v>119.96</v>
      </c>
      <c r="G204" s="25" t="n">
        <f aca="false">(B204-B203)/B203</f>
        <v>0.0340012153674565</v>
      </c>
      <c r="H204" s="25" t="n">
        <f aca="false">(C204-C203)/C203</f>
        <v>0.0181907845440194</v>
      </c>
      <c r="I204" s="25" t="n">
        <f aca="false">(D204-D203)/D203</f>
        <v>0.0230062576414925</v>
      </c>
      <c r="J204" s="25" t="n">
        <f aca="false">(E204-E203)/E203</f>
        <v>0.0333362046687914</v>
      </c>
      <c r="L204" s="24" t="n">
        <f aca="false">MAX($B$2:B204)</f>
        <v>149.207151</v>
      </c>
      <c r="M204" s="25" t="n">
        <f aca="false">(B204-L204)/L204</f>
        <v>-0.0882687519447376</v>
      </c>
    </row>
    <row r="205" customFormat="false" ht="15" hidden="false" customHeight="false" outlineLevel="0" collapsed="false">
      <c r="A205" s="22" t="n">
        <v>45673</v>
      </c>
      <c r="B205" s="23" t="n">
        <v>133.370804</v>
      </c>
      <c r="C205" s="23" t="n">
        <v>583.177</v>
      </c>
      <c r="D205" s="23" t="n">
        <v>509.848453</v>
      </c>
      <c r="E205" s="23" t="n">
        <v>118.44</v>
      </c>
      <c r="G205" s="25" t="n">
        <f aca="false">(B205-B204)/B204</f>
        <v>-0.0195977674338791</v>
      </c>
      <c r="H205" s="25" t="n">
        <f aca="false">(C205-C204)/C204</f>
        <v>-0.00192366605568025</v>
      </c>
      <c r="I205" s="25" t="n">
        <f aca="false">(D205-D204)/D204</f>
        <v>-0.00700599952299136</v>
      </c>
      <c r="J205" s="25" t="n">
        <f aca="false">(E205-E204)/E204</f>
        <v>-0.0126708902967656</v>
      </c>
      <c r="L205" s="24" t="n">
        <f aca="false">MAX($B$2:B205)</f>
        <v>149.207151</v>
      </c>
      <c r="M205" s="25" t="n">
        <f aca="false">(B205-L205)/L205</f>
        <v>-0.106136648906325</v>
      </c>
    </row>
    <row r="206" customFormat="false" ht="15" hidden="false" customHeight="false" outlineLevel="0" collapsed="false">
      <c r="A206" s="22" t="n">
        <v>45674</v>
      </c>
      <c r="B206" s="23" t="n">
        <v>137.50463</v>
      </c>
      <c r="C206" s="23" t="n">
        <v>589.032</v>
      </c>
      <c r="D206" s="23" t="n">
        <v>518.453909</v>
      </c>
      <c r="E206" s="23" t="n">
        <v>121.46</v>
      </c>
      <c r="G206" s="25" t="n">
        <f aca="false">(B206-B205)/B205</f>
        <v>0.0309949844795117</v>
      </c>
      <c r="H206" s="25" t="n">
        <f aca="false">(C206-C205)/C205</f>
        <v>0.0100398335325296</v>
      </c>
      <c r="I206" s="25" t="n">
        <f aca="false">(D206-D205)/D205</f>
        <v>0.0168784585877717</v>
      </c>
      <c r="J206" s="25" t="n">
        <f aca="false">(E206-E205)/E205</f>
        <v>0.0254981425194191</v>
      </c>
      <c r="L206" s="24" t="n">
        <f aca="false">MAX($B$2:B206)</f>
        <v>149.207151</v>
      </c>
      <c r="M206" s="25" t="n">
        <f aca="false">(B206-L206)/L206</f>
        <v>-0.0784313682123722</v>
      </c>
    </row>
    <row r="207" customFormat="false" ht="15" hidden="false" customHeight="false" outlineLevel="0" collapsed="false">
      <c r="A207" s="22" t="n">
        <v>45678</v>
      </c>
      <c r="B207" s="23" t="n">
        <v>140.619977</v>
      </c>
      <c r="C207" s="23" t="n">
        <v>594.424</v>
      </c>
      <c r="D207" s="23" t="n">
        <v>521.494636</v>
      </c>
      <c r="E207" s="23" t="n">
        <v>122.28</v>
      </c>
      <c r="G207" s="25" t="n">
        <f aca="false">(B207-B206)/B206</f>
        <v>0.0226563061912898</v>
      </c>
      <c r="H207" s="25" t="n">
        <f aca="false">(C207-C206)/C206</f>
        <v>0.00915400181993498</v>
      </c>
      <c r="I207" s="25" t="n">
        <f aca="false">(D207-D206)/D206</f>
        <v>0.0058649900159207</v>
      </c>
      <c r="J207" s="25" t="n">
        <f aca="false">(E207-E206)/E206</f>
        <v>0.00675119380866135</v>
      </c>
      <c r="L207" s="24" t="n">
        <f aca="false">MAX($B$2:B207)</f>
        <v>149.207151</v>
      </c>
      <c r="M207" s="25" t="n">
        <f aca="false">(B207-L207)/L207</f>
        <v>-0.0575520271143037</v>
      </c>
    </row>
    <row r="208" customFormat="false" ht="15" hidden="false" customHeight="false" outlineLevel="0" collapsed="false">
      <c r="A208" s="22" t="n">
        <v>45679</v>
      </c>
      <c r="B208" s="23" t="n">
        <v>146.850671</v>
      </c>
      <c r="C208" s="23" t="n">
        <v>597.765</v>
      </c>
      <c r="D208" s="23" t="n">
        <v>528.162375</v>
      </c>
      <c r="E208" s="23" t="n">
        <v>123.75</v>
      </c>
      <c r="G208" s="25" t="n">
        <f aca="false">(B208-B207)/B207</f>
        <v>0.0443087400021407</v>
      </c>
      <c r="H208" s="25" t="n">
        <f aca="false">(C208-C207)/C207</f>
        <v>0.00562056713726231</v>
      </c>
      <c r="I208" s="25" t="n">
        <f aca="false">(D208-D207)/D207</f>
        <v>0.0127858247040531</v>
      </c>
      <c r="J208" s="25" t="n">
        <f aca="false">(E208-E207)/E207</f>
        <v>0.0120215897939156</v>
      </c>
      <c r="L208" s="24" t="n">
        <f aca="false">MAX($B$2:B208)</f>
        <v>149.207151</v>
      </c>
      <c r="M208" s="25" t="n">
        <f aca="false">(B208-L208)/L208</f>
        <v>-0.0157933449181669</v>
      </c>
    </row>
    <row r="209" customFormat="false" ht="15" hidden="false" customHeight="false" outlineLevel="0" collapsed="false">
      <c r="A209" s="22" t="n">
        <v>45680</v>
      </c>
      <c r="B209" s="23" t="n">
        <v>147.000447</v>
      </c>
      <c r="C209" s="23" t="n">
        <v>601.028</v>
      </c>
      <c r="D209" s="23" t="n">
        <v>529.285258</v>
      </c>
      <c r="E209" s="23" t="n">
        <v>123.04</v>
      </c>
      <c r="G209" s="25" t="n">
        <f aca="false">(B209-B208)/B208</f>
        <v>0.00101992043332238</v>
      </c>
      <c r="H209" s="25" t="n">
        <f aca="false">(C209-C208)/C208</f>
        <v>0.00545866686741451</v>
      </c>
      <c r="I209" s="25" t="n">
        <f aca="false">(D209-D208)/D208</f>
        <v>0.00212601853738635</v>
      </c>
      <c r="J209" s="25" t="n">
        <f aca="false">(E209-E208)/E208</f>
        <v>-0.00573737373737369</v>
      </c>
      <c r="L209" s="24" t="n">
        <f aca="false">MAX($B$2:B209)</f>
        <v>149.207151</v>
      </c>
      <c r="M209" s="25" t="n">
        <f aca="false">(B209-L209)/L209</f>
        <v>-0.014789532440037</v>
      </c>
    </row>
    <row r="210" customFormat="false" ht="15" hidden="false" customHeight="false" outlineLevel="0" collapsed="false">
      <c r="A210" s="22" t="n">
        <v>45681</v>
      </c>
      <c r="B210" s="23" t="n">
        <v>142.407307</v>
      </c>
      <c r="C210" s="23" t="n">
        <v>599.273</v>
      </c>
      <c r="D210" s="23" t="n">
        <v>526.294215</v>
      </c>
      <c r="E210" s="23" t="n">
        <v>122.84</v>
      </c>
      <c r="G210" s="25" t="n">
        <f aca="false">(B210-B209)/B209</f>
        <v>-0.0312457553275332</v>
      </c>
      <c r="H210" s="25" t="n">
        <f aca="false">(C210-C209)/C209</f>
        <v>-0.00291999707168384</v>
      </c>
      <c r="I210" s="25" t="n">
        <f aca="false">(D210-D209)/D209</f>
        <v>-0.00565109825900345</v>
      </c>
      <c r="J210" s="25" t="n">
        <f aca="false">(E210-E209)/E209</f>
        <v>-0.00162548764629391</v>
      </c>
      <c r="L210" s="24" t="n">
        <f aca="false">MAX($B$2:B210)</f>
        <v>149.207151</v>
      </c>
      <c r="M210" s="25" t="n">
        <f aca="false">(B210-L210)/L210</f>
        <v>-0.0455731776555402</v>
      </c>
    </row>
    <row r="211" customFormat="false" ht="15" hidden="false" customHeight="false" outlineLevel="0" collapsed="false">
      <c r="A211" s="22" t="n">
        <v>45684</v>
      </c>
      <c r="B211" s="23" t="n">
        <v>118.243397</v>
      </c>
      <c r="C211" s="23" t="n">
        <v>590.796</v>
      </c>
      <c r="D211" s="23" t="n">
        <v>510.971336</v>
      </c>
      <c r="E211" s="23" t="n">
        <v>115.01</v>
      </c>
      <c r="G211" s="25" t="n">
        <f aca="false">(B211-B210)/B210</f>
        <v>-0.169681672303515</v>
      </c>
      <c r="H211" s="25" t="n">
        <f aca="false">(C211-C210)/C210</f>
        <v>-0.0141454729313685</v>
      </c>
      <c r="I211" s="25" t="n">
        <f aca="false">(D211-D210)/D210</f>
        <v>-0.0291146635537311</v>
      </c>
      <c r="J211" s="25" t="n">
        <f aca="false">(E211-E210)/E210</f>
        <v>-0.0637414522956692</v>
      </c>
      <c r="L211" s="24" t="n">
        <f aca="false">MAX($B$2:B211)</f>
        <v>149.207151</v>
      </c>
      <c r="M211" s="25" t="n">
        <f aca="false">(B211-L211)/L211</f>
        <v>-0.207521916962278</v>
      </c>
    </row>
    <row r="212" customFormat="false" ht="15" hidden="false" customHeight="false" outlineLevel="0" collapsed="false">
      <c r="A212" s="22" t="n">
        <v>45685</v>
      </c>
      <c r="B212" s="23" t="n">
        <v>128.797634</v>
      </c>
      <c r="C212" s="23" t="n">
        <v>595.873</v>
      </c>
      <c r="D212" s="23" t="n">
        <v>518.523468</v>
      </c>
      <c r="E212" s="23" t="n">
        <v>114.17</v>
      </c>
      <c r="G212" s="25" t="n">
        <f aca="false">(B212-B211)/B211</f>
        <v>0.0892585739903936</v>
      </c>
      <c r="H212" s="25" t="n">
        <f aca="false">(C212-C211)/C211</f>
        <v>0.00859349081578074</v>
      </c>
      <c r="I212" s="25" t="n">
        <f aca="false">(D212-D211)/D211</f>
        <v>0.0147799523533351</v>
      </c>
      <c r="J212" s="25" t="n">
        <f aca="false">(E212-E211)/E211</f>
        <v>-0.00730371272063302</v>
      </c>
      <c r="L212" s="24" t="n">
        <f aca="false">MAX($B$2:B212)</f>
        <v>149.207151</v>
      </c>
      <c r="M212" s="25" t="n">
        <f aca="false">(B212-L212)/L212</f>
        <v>-0.13678645335169</v>
      </c>
    </row>
    <row r="213" customFormat="false" ht="15" hidden="false" customHeight="false" outlineLevel="0" collapsed="false">
      <c r="A213" s="22" t="n">
        <v>45686</v>
      </c>
      <c r="B213" s="23" t="n">
        <v>123.515523</v>
      </c>
      <c r="C213" s="23" t="n">
        <v>593.202</v>
      </c>
      <c r="D213" s="23" t="n">
        <v>517.549641</v>
      </c>
      <c r="E213" s="23" t="n">
        <v>117.35</v>
      </c>
      <c r="G213" s="25" t="n">
        <f aca="false">(B213-B212)/B212</f>
        <v>-0.0410109319244171</v>
      </c>
      <c r="H213" s="25" t="n">
        <f aca="false">(C213-C212)/C212</f>
        <v>-0.00448249878749339</v>
      </c>
      <c r="I213" s="25" t="n">
        <f aca="false">(D213-D212)/D212</f>
        <v>-0.00187807700152161</v>
      </c>
      <c r="J213" s="25" t="n">
        <f aca="false">(E213-E212)/E212</f>
        <v>0.0278532013663834</v>
      </c>
      <c r="L213" s="24" t="n">
        <f aca="false">MAX($B$2:B213)</f>
        <v>149.207151</v>
      </c>
      <c r="M213" s="25" t="n">
        <f aca="false">(B213-L213)/L213</f>
        <v>-0.172187645349518</v>
      </c>
    </row>
    <row r="214" customFormat="false" ht="15" hidden="false" customHeight="false" outlineLevel="0" collapsed="false">
      <c r="A214" s="22" t="n">
        <v>45687</v>
      </c>
      <c r="B214" s="23" t="n">
        <v>124.464106</v>
      </c>
      <c r="C214" s="23" t="n">
        <v>596.385</v>
      </c>
      <c r="D214" s="23" t="n">
        <v>519.755658</v>
      </c>
      <c r="E214" s="23" t="n">
        <v>118.86</v>
      </c>
      <c r="G214" s="25" t="n">
        <f aca="false">(B214-B213)/B213</f>
        <v>0.00767986870767652</v>
      </c>
      <c r="H214" s="25" t="n">
        <f aca="false">(C214-C213)/C213</f>
        <v>0.00536579445113131</v>
      </c>
      <c r="I214" s="25" t="n">
        <f aca="false">(D214-D213)/D213</f>
        <v>0.00426242591094772</v>
      </c>
      <c r="J214" s="25" t="n">
        <f aca="false">(E214-E213)/E213</f>
        <v>0.0128674904132936</v>
      </c>
      <c r="L214" s="24" t="n">
        <f aca="false">MAX($B$2:B214)</f>
        <v>149.207151</v>
      </c>
      <c r="M214" s="25" t="n">
        <f aca="false">(B214-L214)/L214</f>
        <v>-0.16583015515121</v>
      </c>
    </row>
    <row r="215" customFormat="false" ht="15" hidden="false" customHeight="false" outlineLevel="0" collapsed="false">
      <c r="A215" s="22" t="n">
        <v>45688</v>
      </c>
      <c r="B215" s="23" t="n">
        <v>119.890937</v>
      </c>
      <c r="C215" s="23" t="n">
        <v>593.211</v>
      </c>
      <c r="D215" s="23" t="n">
        <v>519.000445</v>
      </c>
      <c r="E215" s="23" t="n">
        <v>115.95</v>
      </c>
      <c r="G215" s="25" t="n">
        <f aca="false">(B215-B214)/B214</f>
        <v>-0.0367428742869853</v>
      </c>
      <c r="H215" s="25" t="n">
        <f aca="false">(C215-C214)/C214</f>
        <v>-0.00532206544430188</v>
      </c>
      <c r="I215" s="25" t="n">
        <f aca="false">(D215-D214)/D214</f>
        <v>-0.00145301544750096</v>
      </c>
      <c r="J215" s="25" t="n">
        <f aca="false">(E215-E214)/E214</f>
        <v>-0.0244825845532559</v>
      </c>
      <c r="L215" s="24" t="n">
        <f aca="false">MAX($B$2:B215)</f>
        <v>149.207151</v>
      </c>
      <c r="M215" s="25" t="n">
        <f aca="false">(B215-L215)/L215</f>
        <v>-0.196479952894483</v>
      </c>
    </row>
    <row r="216" customFormat="false" ht="15" hidden="false" customHeight="false" outlineLevel="0" collapsed="false">
      <c r="A216" s="22" t="n">
        <v>45691</v>
      </c>
      <c r="B216" s="23" t="n">
        <v>116.486022</v>
      </c>
      <c r="C216" s="23" t="n">
        <v>589.219</v>
      </c>
      <c r="D216" s="23" t="n">
        <v>514.846772</v>
      </c>
      <c r="E216" s="23" t="n">
        <v>114.27</v>
      </c>
      <c r="G216" s="25" t="n">
        <f aca="false">(B216-B215)/B215</f>
        <v>-0.0284001033372522</v>
      </c>
      <c r="H216" s="25" t="n">
        <f aca="false">(C216-C215)/C215</f>
        <v>-0.00672947736977224</v>
      </c>
      <c r="I216" s="25" t="n">
        <f aca="false">(D216-D215)/D215</f>
        <v>-0.00800321664464089</v>
      </c>
      <c r="J216" s="25" t="n">
        <f aca="false">(E216-E215)/E215</f>
        <v>-0.0144890038809832</v>
      </c>
      <c r="L216" s="24" t="n">
        <f aca="false">MAX($B$2:B216)</f>
        <v>149.207151</v>
      </c>
      <c r="M216" s="25" t="n">
        <f aca="false">(B216-L216)/L216</f>
        <v>-0.219300005265833</v>
      </c>
    </row>
    <row r="217" customFormat="false" ht="15" hidden="false" customHeight="false" outlineLevel="0" collapsed="false">
      <c r="A217" s="22" t="n">
        <v>45692</v>
      </c>
      <c r="B217" s="23" t="n">
        <v>118.473054</v>
      </c>
      <c r="C217" s="23" t="n">
        <v>593.172</v>
      </c>
      <c r="D217" s="23" t="n">
        <v>521.166715</v>
      </c>
      <c r="E217" s="23" t="n">
        <v>119.5</v>
      </c>
      <c r="G217" s="25" t="n">
        <f aca="false">(B217-B216)/B216</f>
        <v>0.0170581153505268</v>
      </c>
      <c r="H217" s="25" t="n">
        <f aca="false">(C217-C216)/C216</f>
        <v>0.00670888073874056</v>
      </c>
      <c r="I217" s="25" t="n">
        <f aca="false">(D217-D216)/D216</f>
        <v>0.0122753862774534</v>
      </c>
      <c r="J217" s="25" t="n">
        <f aca="false">(E217-E216)/E216</f>
        <v>0.0457687932090663</v>
      </c>
      <c r="L217" s="24" t="n">
        <f aca="false">MAX($B$2:B217)</f>
        <v>149.207151</v>
      </c>
      <c r="M217" s="25" t="n">
        <f aca="false">(B217-L217)/L217</f>
        <v>-0.205982734701502</v>
      </c>
    </row>
    <row r="218" customFormat="false" ht="15" hidden="false" customHeight="false" outlineLevel="0" collapsed="false">
      <c r="A218" s="22" t="n">
        <v>45693</v>
      </c>
      <c r="B218" s="23" t="n">
        <v>124.643838</v>
      </c>
      <c r="C218" s="23" t="n">
        <v>595.577</v>
      </c>
      <c r="D218" s="23" t="n">
        <v>523.531725</v>
      </c>
      <c r="E218" s="23" t="n">
        <v>112.01</v>
      </c>
      <c r="G218" s="25" t="n">
        <f aca="false">(B218-B217)/B217</f>
        <v>0.0520859705363888</v>
      </c>
      <c r="H218" s="25" t="n">
        <f aca="false">(C218-C217)/C217</f>
        <v>0.00405447323879073</v>
      </c>
      <c r="I218" s="25" t="n">
        <f aca="false">(D218-D217)/D217</f>
        <v>0.00453791451359302</v>
      </c>
      <c r="J218" s="25" t="n">
        <f aca="false">(E218-E217)/E217</f>
        <v>-0.0626778242677824</v>
      </c>
      <c r="L218" s="24" t="n">
        <f aca="false">MAX($B$2:B218)</f>
        <v>149.207151</v>
      </c>
      <c r="M218" s="25" t="n">
        <f aca="false">(B218-L218)/L218</f>
        <v>-0.164625574815781</v>
      </c>
    </row>
    <row r="219" customFormat="false" ht="15" hidden="false" customHeight="false" outlineLevel="0" collapsed="false">
      <c r="A219" s="22" t="n">
        <v>45694</v>
      </c>
      <c r="B219" s="23" t="n">
        <v>128.488096</v>
      </c>
      <c r="C219" s="23" t="n">
        <v>597.647</v>
      </c>
      <c r="D219" s="23" t="n">
        <v>526.264404</v>
      </c>
      <c r="E219" s="23" t="n">
        <v>110.16</v>
      </c>
      <c r="G219" s="25" t="n">
        <f aca="false">(B219-B218)/B218</f>
        <v>0.0308419418214642</v>
      </c>
      <c r="H219" s="25" t="n">
        <f aca="false">(C219-C218)/C218</f>
        <v>0.003475621120359</v>
      </c>
      <c r="I219" s="25" t="n">
        <f aca="false">(D219-D218)/D218</f>
        <v>0.00521970086913064</v>
      </c>
      <c r="J219" s="25" t="n">
        <f aca="false">(E219-E218)/E218</f>
        <v>-0.0165163824658513</v>
      </c>
      <c r="L219" s="24" t="n">
        <f aca="false">MAX($B$2:B219)</f>
        <v>149.207151</v>
      </c>
      <c r="M219" s="25" t="n">
        <f aca="false">(B219-L219)/L219</f>
        <v>-0.13886100539511</v>
      </c>
    </row>
    <row r="220" customFormat="false" ht="15" hidden="false" customHeight="false" outlineLevel="0" collapsed="false">
      <c r="A220" s="22" t="n">
        <v>45695</v>
      </c>
      <c r="B220" s="23" t="n">
        <v>129.646366</v>
      </c>
      <c r="C220" s="23" t="n">
        <v>592.176</v>
      </c>
      <c r="D220" s="23" t="n">
        <v>519.626477</v>
      </c>
      <c r="E220" s="23" t="n">
        <v>107.56</v>
      </c>
      <c r="G220" s="25" t="n">
        <f aca="false">(B220-B219)/B219</f>
        <v>0.00901460941564569</v>
      </c>
      <c r="H220" s="25" t="n">
        <f aca="false">(C220-C219)/C219</f>
        <v>-0.00915423318447178</v>
      </c>
      <c r="I220" s="25" t="n">
        <f aca="false">(D220-D219)/D219</f>
        <v>-0.0126132927660446</v>
      </c>
      <c r="J220" s="25" t="n">
        <f aca="false">(E220-E219)/E219</f>
        <v>-0.0236020334059549</v>
      </c>
      <c r="L220" s="24" t="n">
        <f aca="false">MAX($B$2:B220)</f>
        <v>149.207151</v>
      </c>
      <c r="M220" s="25" t="n">
        <f aca="false">(B220-L220)/L220</f>
        <v>-0.131098173706165</v>
      </c>
    </row>
    <row r="221" customFormat="false" ht="15" hidden="false" customHeight="false" outlineLevel="0" collapsed="false">
      <c r="A221" s="22" t="n">
        <v>45698</v>
      </c>
      <c r="B221" s="23" t="n">
        <v>133.370804</v>
      </c>
      <c r="C221" s="23" t="n">
        <v>596.198</v>
      </c>
      <c r="D221" s="23" t="n">
        <v>525.916609</v>
      </c>
      <c r="E221" s="23" t="n">
        <v>110.48</v>
      </c>
      <c r="G221" s="25" t="n">
        <f aca="false">(B221-B220)/B220</f>
        <v>0.0287276698523119</v>
      </c>
      <c r="H221" s="25" t="n">
        <f aca="false">(C221-C220)/C220</f>
        <v>0.00679189970549285</v>
      </c>
      <c r="I221" s="25" t="n">
        <f aca="false">(D221-D220)/D220</f>
        <v>0.0121051029507104</v>
      </c>
      <c r="J221" s="25" t="n">
        <f aca="false">(E221-E220)/E220</f>
        <v>0.0271476385273336</v>
      </c>
      <c r="L221" s="24" t="n">
        <f aca="false">MAX($B$2:B221)</f>
        <v>149.207151</v>
      </c>
      <c r="M221" s="25" t="n">
        <f aca="false">(B221-L221)/L221</f>
        <v>-0.106136648906325</v>
      </c>
    </row>
    <row r="222" customFormat="false" ht="15" hidden="false" customHeight="false" outlineLevel="0" collapsed="false">
      <c r="A222" s="22" t="n">
        <v>45699</v>
      </c>
      <c r="B222" s="23" t="n">
        <v>132.601952</v>
      </c>
      <c r="C222" s="23" t="n">
        <v>596.651</v>
      </c>
      <c r="D222" s="23" t="n">
        <v>524.664545</v>
      </c>
      <c r="E222" s="23" t="n">
        <v>111.1</v>
      </c>
      <c r="G222" s="25" t="n">
        <f aca="false">(B222-B221)/B221</f>
        <v>-0.00576476992670736</v>
      </c>
      <c r="H222" s="25" t="n">
        <f aca="false">(C222-C221)/C221</f>
        <v>0.00075981469243435</v>
      </c>
      <c r="I222" s="25" t="n">
        <f aca="false">(D222-D221)/D221</f>
        <v>-0.00238072724567636</v>
      </c>
      <c r="J222" s="25" t="n">
        <f aca="false">(E222-E221)/E221</f>
        <v>0.00561187545257051</v>
      </c>
      <c r="L222" s="24" t="n">
        <f aca="false">MAX($B$2:B222)</f>
        <v>149.207151</v>
      </c>
      <c r="M222" s="25" t="n">
        <f aca="false">(B222-L222)/L222</f>
        <v>-0.111289565471296</v>
      </c>
    </row>
    <row r="223" customFormat="false" ht="15" hidden="false" customHeight="false" outlineLevel="0" collapsed="false">
      <c r="A223" s="22" t="n">
        <v>45700</v>
      </c>
      <c r="B223" s="23" t="n">
        <v>130.944428</v>
      </c>
      <c r="C223" s="23" t="n">
        <v>594.729</v>
      </c>
      <c r="D223" s="23" t="n">
        <v>524.972592</v>
      </c>
      <c r="E223" s="23" t="n">
        <v>111.72</v>
      </c>
      <c r="G223" s="25" t="n">
        <f aca="false">(B223-B222)/B222</f>
        <v>-0.0124999969834533</v>
      </c>
      <c r="H223" s="25" t="n">
        <f aca="false">(C223-C222)/C222</f>
        <v>-0.00322131363225724</v>
      </c>
      <c r="I223" s="25" t="n">
        <f aca="false">(D223-D222)/D222</f>
        <v>0.000587131345038739</v>
      </c>
      <c r="J223" s="25" t="n">
        <f aca="false">(E223-E222)/E222</f>
        <v>0.00558055805580562</v>
      </c>
      <c r="L223" s="24" t="n">
        <f aca="false">MAX($B$2:B223)</f>
        <v>149.207151</v>
      </c>
      <c r="M223" s="25" t="n">
        <f aca="false">(B223-L223)/L223</f>
        <v>-0.122398443222068</v>
      </c>
    </row>
    <row r="224" customFormat="false" ht="15" hidden="false" customHeight="false" outlineLevel="0" collapsed="false">
      <c r="A224" s="22" t="n">
        <v>45701</v>
      </c>
      <c r="B224" s="23" t="n">
        <v>135.088239</v>
      </c>
      <c r="C224" s="23" t="n">
        <v>601.008</v>
      </c>
      <c r="D224" s="23" t="n">
        <v>532.524725</v>
      </c>
      <c r="E224" s="23" t="n">
        <v>111.81</v>
      </c>
      <c r="G224" s="25" t="n">
        <f aca="false">(B224-B223)/B223</f>
        <v>0.0316455695235845</v>
      </c>
      <c r="H224" s="25" t="n">
        <f aca="false">(C224-C223)/C223</f>
        <v>0.0105577498322765</v>
      </c>
      <c r="I224" s="25" t="n">
        <f aca="false">(D224-D223)/D223</f>
        <v>0.0143857662572983</v>
      </c>
      <c r="J224" s="25" t="n">
        <f aca="false">(E224-E223)/E223</f>
        <v>0.000805585392051588</v>
      </c>
      <c r="L224" s="24" t="n">
        <f aca="false">MAX($B$2:B224)</f>
        <v>149.207151</v>
      </c>
      <c r="M224" s="25" t="n">
        <f aca="false">(B224-L224)/L224</f>
        <v>-0.094626242143046</v>
      </c>
    </row>
    <row r="225" customFormat="false" ht="15" hidden="false" customHeight="false" outlineLevel="0" collapsed="false">
      <c r="A225" s="22" t="n">
        <v>45702</v>
      </c>
      <c r="B225" s="23" t="n">
        <v>138.642929</v>
      </c>
      <c r="C225" s="23" t="n">
        <v>600.979</v>
      </c>
      <c r="D225" s="23" t="n">
        <v>534.760554</v>
      </c>
      <c r="E225" s="23" t="n">
        <v>113.1</v>
      </c>
      <c r="G225" s="25" t="n">
        <f aca="false">(B225-B224)/B224</f>
        <v>0.0263138377279463</v>
      </c>
      <c r="H225" s="25" t="n">
        <f aca="false">(C225-C224)/C224</f>
        <v>-4.82522695205328E-005</v>
      </c>
      <c r="I225" s="25" t="n">
        <f aca="false">(D225-D224)/D224</f>
        <v>0.00419854495957905</v>
      </c>
      <c r="J225" s="25" t="n">
        <f aca="false">(E225-E224)/E224</f>
        <v>0.0115374295680171</v>
      </c>
      <c r="L225" s="24" t="n">
        <f aca="false">MAX($B$2:B225)</f>
        <v>149.207151</v>
      </c>
      <c r="M225" s="25" t="n">
        <f aca="false">(B225-L225)/L225</f>
        <v>-0.0708023839956572</v>
      </c>
    </row>
    <row r="226" customFormat="false" ht="15" hidden="false" customHeight="false" outlineLevel="0" collapsed="false">
      <c r="A226" s="22" t="n">
        <v>45706</v>
      </c>
      <c r="B226" s="23" t="n">
        <v>139.192109</v>
      </c>
      <c r="C226" s="23" t="n">
        <v>602.743</v>
      </c>
      <c r="D226" s="23" t="n">
        <v>535.97287</v>
      </c>
      <c r="E226" s="23" t="n">
        <v>114.28</v>
      </c>
      <c r="G226" s="25" t="n">
        <f aca="false">(B226-B225)/B225</f>
        <v>0.00396111077543651</v>
      </c>
      <c r="H226" s="25" t="n">
        <f aca="false">(C226-C225)/C225</f>
        <v>0.0029352107145175</v>
      </c>
      <c r="I226" s="25" t="n">
        <f aca="false">(D226-D225)/D225</f>
        <v>0.00226702585097551</v>
      </c>
      <c r="J226" s="25" t="n">
        <f aca="false">(E226-E225)/E225</f>
        <v>0.0104332449160036</v>
      </c>
      <c r="L226" s="24" t="n">
        <f aca="false">MAX($B$2:B226)</f>
        <v>149.207151</v>
      </c>
      <c r="M226" s="25" t="n">
        <f aca="false">(B226-L226)/L226</f>
        <v>-0.0671217293063924</v>
      </c>
    </row>
    <row r="227" customFormat="false" ht="15" hidden="false" customHeight="false" outlineLevel="0" collapsed="false">
      <c r="A227" s="22" t="n">
        <v>45707</v>
      </c>
      <c r="B227" s="23" t="n">
        <v>139.022363</v>
      </c>
      <c r="C227" s="23" t="n">
        <v>604.162</v>
      </c>
      <c r="D227" s="23" t="n">
        <v>536.121925</v>
      </c>
      <c r="E227" s="23" t="n">
        <v>114.69</v>
      </c>
      <c r="G227" s="25" t="n">
        <f aca="false">(B227-B226)/B226</f>
        <v>-0.00121950878695268</v>
      </c>
      <c r="H227" s="25" t="n">
        <f aca="false">(C227-C226)/C226</f>
        <v>0.00235423721221148</v>
      </c>
      <c r="I227" s="25" t="n">
        <f aca="false">(D227-D226)/D226</f>
        <v>0.000278101762874844</v>
      </c>
      <c r="J227" s="25" t="n">
        <f aca="false">(E227-E226)/E226</f>
        <v>0.00358767938396917</v>
      </c>
      <c r="L227" s="24" t="n">
        <f aca="false">MAX($B$2:B227)</f>
        <v>149.207151</v>
      </c>
      <c r="M227" s="25" t="n">
        <f aca="false">(B227-L227)/L227</f>
        <v>-0.0682593825546605</v>
      </c>
    </row>
    <row r="228" customFormat="false" ht="15" hidden="false" customHeight="false" outlineLevel="0" collapsed="false">
      <c r="A228" s="22" t="n">
        <v>45708</v>
      </c>
      <c r="B228" s="23" t="n">
        <v>139.90105</v>
      </c>
      <c r="C228" s="23" t="n">
        <v>601.649</v>
      </c>
      <c r="D228" s="23" t="n">
        <v>533.846348</v>
      </c>
      <c r="E228" s="23" t="n">
        <v>114.17</v>
      </c>
      <c r="G228" s="25" t="n">
        <f aca="false">(B228-B227)/B227</f>
        <v>0.00632047234012261</v>
      </c>
      <c r="H228" s="25" t="n">
        <f aca="false">(C228-C227)/C227</f>
        <v>-0.00415948040426249</v>
      </c>
      <c r="I228" s="25" t="n">
        <f aca="false">(D228-D227)/D227</f>
        <v>-0.00424451396946692</v>
      </c>
      <c r="J228" s="25" t="n">
        <f aca="false">(E228-E227)/E227</f>
        <v>-0.00453396111256427</v>
      </c>
      <c r="L228" s="24" t="n">
        <f aca="false">MAX($B$2:B228)</f>
        <v>149.207151</v>
      </c>
      <c r="M228" s="25" t="n">
        <f aca="false">(B228-L228)/L228</f>
        <v>-0.0623703417539285</v>
      </c>
    </row>
    <row r="229" customFormat="false" ht="15" hidden="false" customHeight="false" outlineLevel="0" collapsed="false">
      <c r="A229" s="22" t="n">
        <v>45709</v>
      </c>
      <c r="B229" s="23" t="n">
        <v>134.229521</v>
      </c>
      <c r="C229" s="23" t="n">
        <v>591.358</v>
      </c>
      <c r="D229" s="23" t="n">
        <v>522.766575</v>
      </c>
      <c r="E229" s="23" t="n">
        <v>110.84</v>
      </c>
      <c r="G229" s="25" t="n">
        <f aca="false">(B229-B228)/B228</f>
        <v>-0.0405395742204936</v>
      </c>
      <c r="H229" s="25" t="n">
        <f aca="false">(C229-C228)/C228</f>
        <v>-0.0171046573666707</v>
      </c>
      <c r="I229" s="25" t="n">
        <f aca="false">(D229-D228)/D228</f>
        <v>-0.0207546104633089</v>
      </c>
      <c r="J229" s="25" t="n">
        <f aca="false">(E229-E228)/E228</f>
        <v>-0.0291670316195147</v>
      </c>
      <c r="L229" s="24" t="n">
        <f aca="false">MAX($B$2:B229)</f>
        <v>149.207151</v>
      </c>
      <c r="M229" s="25" t="n">
        <f aca="false">(B229-L229)/L229</f>
        <v>-0.100381448875731</v>
      </c>
    </row>
    <row r="230" customFormat="false" ht="15" hidden="false" customHeight="false" outlineLevel="0" collapsed="false">
      <c r="A230" s="22" t="n">
        <v>45712</v>
      </c>
      <c r="B230" s="23" t="n">
        <v>130.08571</v>
      </c>
      <c r="C230" s="23" t="n">
        <v>588.667</v>
      </c>
      <c r="D230" s="23" t="n">
        <v>516.595687</v>
      </c>
      <c r="E230" s="23" t="n">
        <v>108.11</v>
      </c>
      <c r="G230" s="25" t="n">
        <f aca="false">(B230-B229)/B229</f>
        <v>-0.0308710853553593</v>
      </c>
      <c r="H230" s="25" t="n">
        <f aca="false">(C230-C229)/C229</f>
        <v>-0.00455054298749644</v>
      </c>
      <c r="I230" s="25" t="n">
        <f aca="false">(D230-D229)/D229</f>
        <v>-0.0118042895148757</v>
      </c>
      <c r="J230" s="25" t="n">
        <f aca="false">(E230-E229)/E229</f>
        <v>-0.0246300974377481</v>
      </c>
      <c r="L230" s="24" t="n">
        <f aca="false">MAX($B$2:B230)</f>
        <v>149.207151</v>
      </c>
      <c r="M230" s="25" t="n">
        <f aca="false">(B230-L230)/L230</f>
        <v>-0.128153649954753</v>
      </c>
    </row>
    <row r="231" customFormat="false" ht="15" hidden="false" customHeight="false" outlineLevel="0" collapsed="false">
      <c r="A231" s="22" t="n">
        <v>45713</v>
      </c>
      <c r="B231" s="23" t="n">
        <v>126.441153</v>
      </c>
      <c r="C231" s="23" t="n">
        <v>585.74</v>
      </c>
      <c r="D231" s="23" t="n">
        <v>510.086941</v>
      </c>
      <c r="E231" s="23" t="n">
        <v>103.96</v>
      </c>
      <c r="G231" s="25" t="n">
        <f aca="false">(B231-B230)/B230</f>
        <v>-0.0280165822979327</v>
      </c>
      <c r="H231" s="25" t="n">
        <f aca="false">(C231-C230)/C230</f>
        <v>-0.00497225086509015</v>
      </c>
      <c r="I231" s="25" t="n">
        <f aca="false">(D231-D230)/D230</f>
        <v>-0.0125993037955812</v>
      </c>
      <c r="J231" s="25" t="n">
        <f aca="false">(E231-E230)/E230</f>
        <v>-0.038386828230506</v>
      </c>
      <c r="L231" s="24" t="n">
        <f aca="false">MAX($B$2:B231)</f>
        <v>149.207151</v>
      </c>
      <c r="M231" s="25" t="n">
        <f aca="false">(B231-L231)/L231</f>
        <v>-0.152579804971948</v>
      </c>
    </row>
    <row r="232" customFormat="false" ht="15" hidden="false" customHeight="false" outlineLevel="0" collapsed="false">
      <c r="A232" s="22" t="n">
        <v>45714</v>
      </c>
      <c r="B232" s="23" t="n">
        <v>131.084219</v>
      </c>
      <c r="C232" s="23" t="n">
        <v>586.036</v>
      </c>
      <c r="D232" s="23" t="n">
        <v>511.319131</v>
      </c>
      <c r="E232" s="23" t="n">
        <v>104.74</v>
      </c>
      <c r="G232" s="25" t="n">
        <f aca="false">(B232-B231)/B231</f>
        <v>0.0367211615034861</v>
      </c>
      <c r="H232" s="25" t="n">
        <f aca="false">(C232-C231)/C231</f>
        <v>0.000505343667838863</v>
      </c>
      <c r="I232" s="25" t="n">
        <f aca="false">(D232-D231)/D231</f>
        <v>0.00241564702202404</v>
      </c>
      <c r="J232" s="25" t="n">
        <f aca="false">(E232-E231)/E231</f>
        <v>0.00750288572527896</v>
      </c>
      <c r="L232" s="24" t="n">
        <f aca="false">MAX($B$2:B232)</f>
        <v>149.207151</v>
      </c>
      <c r="M232" s="25" t="n">
        <f aca="false">(B232-L232)/L232</f>
        <v>-0.121461551129007</v>
      </c>
    </row>
    <row r="233" customFormat="false" ht="15" hidden="false" customHeight="false" outlineLevel="0" collapsed="false">
      <c r="A233" s="22" t="n">
        <v>45715</v>
      </c>
      <c r="B233" s="23" t="n">
        <v>119.970817</v>
      </c>
      <c r="C233" s="23" t="n">
        <v>576.681</v>
      </c>
      <c r="D233" s="23" t="n">
        <v>497.119134</v>
      </c>
      <c r="E233" s="23" t="n">
        <v>99.51</v>
      </c>
      <c r="G233" s="25" t="n">
        <f aca="false">(B233-B232)/B232</f>
        <v>-0.084780624889713</v>
      </c>
      <c r="H233" s="25" t="n">
        <f aca="false">(C233-C232)/C232</f>
        <v>-0.0159631831491579</v>
      </c>
      <c r="I233" s="25" t="n">
        <f aca="false">(D233-D232)/D232</f>
        <v>-0.0277713000337553</v>
      </c>
      <c r="J233" s="25" t="n">
        <f aca="false">(E233-E232)/E232</f>
        <v>-0.0499331678441855</v>
      </c>
      <c r="L233" s="24" t="n">
        <f aca="false">MAX($B$2:B233)</f>
        <v>149.207151</v>
      </c>
      <c r="M233" s="25" t="n">
        <f aca="false">(B233-L233)/L233</f>
        <v>-0.195944589813929</v>
      </c>
    </row>
    <row r="234" customFormat="false" ht="15" hidden="false" customHeight="false" outlineLevel="0" collapsed="false">
      <c r="A234" s="22" t="n">
        <v>45716</v>
      </c>
      <c r="B234" s="23" t="n">
        <v>124.733704</v>
      </c>
      <c r="C234" s="23" t="n">
        <v>585.681</v>
      </c>
      <c r="D234" s="23" t="n">
        <v>504.969378</v>
      </c>
      <c r="E234" s="23" t="n">
        <v>99.86</v>
      </c>
      <c r="G234" s="25" t="n">
        <f aca="false">(B234-B233)/B233</f>
        <v>0.0397003798015313</v>
      </c>
      <c r="H234" s="25" t="n">
        <f aca="false">(C234-C233)/C233</f>
        <v>0.0156065485077539</v>
      </c>
      <c r="I234" s="25" t="n">
        <f aca="false">(D234-D233)/D233</f>
        <v>0.0157914742424701</v>
      </c>
      <c r="J234" s="25" t="n">
        <f aca="false">(E234-E233)/E233</f>
        <v>0.00351723444879906</v>
      </c>
      <c r="L234" s="24" t="n">
        <f aca="false">MAX($B$2:B234)</f>
        <v>149.207151</v>
      </c>
      <c r="M234" s="25" t="n">
        <f aca="false">(B234-L234)/L234</f>
        <v>-0.164023284648066</v>
      </c>
    </row>
    <row r="235" customFormat="false" ht="15" hidden="false" customHeight="false" outlineLevel="0" collapsed="false">
      <c r="A235" s="22" t="n">
        <v>45719</v>
      </c>
      <c r="B235" s="23" t="n">
        <v>113.889899</v>
      </c>
      <c r="C235" s="23" t="n">
        <v>575.42</v>
      </c>
      <c r="D235" s="23" t="n">
        <v>493.919415</v>
      </c>
      <c r="E235" s="23" t="n">
        <v>98.23</v>
      </c>
      <c r="G235" s="25" t="n">
        <f aca="false">(B235-B234)/B234</f>
        <v>-0.0869356449159884</v>
      </c>
      <c r="H235" s="25" t="n">
        <f aca="false">(C235-C234)/C234</f>
        <v>-0.0175197761238628</v>
      </c>
      <c r="I235" s="25" t="n">
        <f aca="false">(D235-D234)/D234</f>
        <v>-0.021882441750755</v>
      </c>
      <c r="J235" s="25" t="n">
        <f aca="false">(E235-E234)/E234</f>
        <v>-0.0163228519927899</v>
      </c>
      <c r="L235" s="24" t="n">
        <f aca="false">MAX($B$2:B235)</f>
        <v>149.207151</v>
      </c>
      <c r="M235" s="25" t="n">
        <f aca="false">(B235-L235)/L235</f>
        <v>-0.236699459531936</v>
      </c>
    </row>
    <row r="236" customFormat="false" ht="15" hidden="false" customHeight="false" outlineLevel="0" collapsed="false">
      <c r="A236" s="22" t="n">
        <v>45720</v>
      </c>
      <c r="B236" s="23" t="n">
        <v>115.817021</v>
      </c>
      <c r="C236" s="23" t="n">
        <v>568.608</v>
      </c>
      <c r="D236" s="23" t="n">
        <v>492.428863</v>
      </c>
      <c r="E236" s="23" t="n">
        <v>100.75</v>
      </c>
      <c r="G236" s="25" t="n">
        <f aca="false">(B236-B235)/B235</f>
        <v>0.0169209211433228</v>
      </c>
      <c r="H236" s="25" t="n">
        <f aca="false">(C236-C235)/C235</f>
        <v>-0.0118383094087797</v>
      </c>
      <c r="I236" s="25" t="n">
        <f aca="false">(D236-D235)/D235</f>
        <v>-0.00301780402780894</v>
      </c>
      <c r="J236" s="25" t="n">
        <f aca="false">(E236-E235)/E235</f>
        <v>0.0256540771658352</v>
      </c>
      <c r="L236" s="24" t="n">
        <f aca="false">MAX($B$2:B236)</f>
        <v>149.207151</v>
      </c>
      <c r="M236" s="25" t="n">
        <f aca="false">(B236-L236)/L236</f>
        <v>-0.223783711278021</v>
      </c>
    </row>
    <row r="237" customFormat="false" ht="15" hidden="false" customHeight="false" outlineLevel="0" collapsed="false">
      <c r="A237" s="22" t="n">
        <v>45721</v>
      </c>
      <c r="B237" s="23" t="n">
        <v>117.125067</v>
      </c>
      <c r="C237" s="23" t="n">
        <v>574.72</v>
      </c>
      <c r="D237" s="23" t="n">
        <v>498.848175</v>
      </c>
      <c r="E237" s="23" t="n">
        <v>101.67</v>
      </c>
      <c r="G237" s="25" t="n">
        <f aca="false">(B237-B236)/B236</f>
        <v>0.0112940739513582</v>
      </c>
      <c r="H237" s="25" t="n">
        <f aca="false">(C237-C236)/C236</f>
        <v>0.0107490573470653</v>
      </c>
      <c r="I237" s="25" t="n">
        <f aca="false">(D237-D236)/D236</f>
        <v>0.0130360189711301</v>
      </c>
      <c r="J237" s="25" t="n">
        <f aca="false">(E237-E236)/E236</f>
        <v>0.0091315136476427</v>
      </c>
      <c r="L237" s="24" t="n">
        <f aca="false">MAX($B$2:B237)</f>
        <v>149.207151</v>
      </c>
      <c r="M237" s="25" t="n">
        <f aca="false">(B237-L237)/L237</f>
        <v>-0.215017067110946</v>
      </c>
    </row>
    <row r="238" customFormat="false" ht="15" hidden="false" customHeight="false" outlineLevel="0" collapsed="false">
      <c r="A238" s="22" t="n">
        <v>45722</v>
      </c>
      <c r="B238" s="23" t="n">
        <v>110.405104</v>
      </c>
      <c r="C238" s="23" t="n">
        <v>564.518</v>
      </c>
      <c r="D238" s="23" t="n">
        <v>485.125155</v>
      </c>
      <c r="E238" s="23" t="n">
        <v>98.85</v>
      </c>
      <c r="G238" s="25" t="n">
        <f aca="false">(B238-B237)/B237</f>
        <v>-0.0573742510644626</v>
      </c>
      <c r="H238" s="25" t="n">
        <f aca="false">(C238-C237)/C237</f>
        <v>-0.0177512527839644</v>
      </c>
      <c r="I238" s="25" t="n">
        <f aca="false">(D238-D237)/D237</f>
        <v>-0.0275094120570853</v>
      </c>
      <c r="J238" s="25" t="n">
        <f aca="false">(E238-E237)/E237</f>
        <v>-0.0277367955149012</v>
      </c>
      <c r="L238" s="24" t="n">
        <f aca="false">MAX($B$2:B238)</f>
        <v>149.207151</v>
      </c>
      <c r="M238" s="25" t="n">
        <f aca="false">(B238-L238)/L238</f>
        <v>-0.260054874983841</v>
      </c>
    </row>
    <row r="239" customFormat="false" ht="15" hidden="false" customHeight="false" outlineLevel="0" collapsed="false">
      <c r="A239" s="22" t="n">
        <v>45723</v>
      </c>
      <c r="B239" s="23" t="n">
        <v>112.521943</v>
      </c>
      <c r="C239" s="23" t="n">
        <v>567.682</v>
      </c>
      <c r="D239" s="23" t="n">
        <v>488.692544</v>
      </c>
      <c r="E239" s="23" t="n">
        <v>100.31</v>
      </c>
      <c r="G239" s="25" t="n">
        <f aca="false">(B239-B238)/B238</f>
        <v>0.0191733798828721</v>
      </c>
      <c r="H239" s="25" t="n">
        <f aca="false">(C239-C238)/C238</f>
        <v>0.00560478142415297</v>
      </c>
      <c r="I239" s="25" t="n">
        <f aca="false">(D239-D238)/D238</f>
        <v>0.00735354364380464</v>
      </c>
      <c r="J239" s="25" t="n">
        <f aca="false">(E239-E238)/E238</f>
        <v>0.0147698533131007</v>
      </c>
      <c r="L239" s="24" t="n">
        <f aca="false">MAX($B$2:B239)</f>
        <v>149.207151</v>
      </c>
      <c r="M239" s="25" t="n">
        <f aca="false">(B239-L239)/L239</f>
        <v>-0.245867626009426</v>
      </c>
    </row>
    <row r="240" customFormat="false" ht="15" hidden="false" customHeight="false" outlineLevel="0" collapsed="false">
      <c r="A240" s="22" t="n">
        <v>45726</v>
      </c>
      <c r="B240" s="23" t="n">
        <v>106.820458</v>
      </c>
      <c r="C240" s="23" t="n">
        <v>552.561</v>
      </c>
      <c r="D240" s="23" t="n">
        <v>469.75259</v>
      </c>
      <c r="E240" s="23" t="n">
        <v>96.63</v>
      </c>
      <c r="G240" s="25" t="n">
        <f aca="false">(B240-B239)/B239</f>
        <v>-0.0506699835426766</v>
      </c>
      <c r="H240" s="25" t="n">
        <f aca="false">(C240-C239)/C239</f>
        <v>-0.0266363915008755</v>
      </c>
      <c r="I240" s="25" t="n">
        <f aca="false">(D240-D239)/D239</f>
        <v>-0.0387563801259878</v>
      </c>
      <c r="J240" s="25" t="n">
        <f aca="false">(E240-E239)/E239</f>
        <v>-0.0366862725550793</v>
      </c>
      <c r="L240" s="24" t="n">
        <f aca="false">MAX($B$2:B240)</f>
        <v>149.207151</v>
      </c>
      <c r="M240" s="25" t="n">
        <f aca="false">(B240-L240)/L240</f>
        <v>-0.284079500988528</v>
      </c>
    </row>
    <row r="241" customFormat="false" ht="15" hidden="false" customHeight="false" outlineLevel="0" collapsed="false">
      <c r="A241" s="22" t="n">
        <v>45727</v>
      </c>
      <c r="B241" s="23" t="n">
        <v>108.597803</v>
      </c>
      <c r="C241" s="23" t="n">
        <v>547.968</v>
      </c>
      <c r="D241" s="23" t="n">
        <v>468.629708</v>
      </c>
      <c r="E241" s="23" t="n">
        <v>96.76</v>
      </c>
      <c r="G241" s="25" t="n">
        <f aca="false">(B241-B240)/B240</f>
        <v>0.0166386199167953</v>
      </c>
      <c r="H241" s="25" t="n">
        <f aca="false">(C241-C240)/C240</f>
        <v>-0.00831220444439632</v>
      </c>
      <c r="I241" s="25" t="n">
        <f aca="false">(D241-D240)/D240</f>
        <v>-0.00239036893867898</v>
      </c>
      <c r="J241" s="25" t="n">
        <f aca="false">(E241-E240)/E240</f>
        <v>0.00134533788678474</v>
      </c>
      <c r="L241" s="24" t="n">
        <f aca="false">MAX($B$2:B241)</f>
        <v>149.207151</v>
      </c>
      <c r="M241" s="25" t="n">
        <f aca="false">(B241-L241)/L241</f>
        <v>-0.272167571914834</v>
      </c>
    </row>
    <row r="242" customFormat="false" ht="15" hidden="false" customHeight="false" outlineLevel="0" collapsed="false">
      <c r="A242" s="22" t="n">
        <v>45728</v>
      </c>
      <c r="B242" s="23" t="n">
        <v>115.578021</v>
      </c>
      <c r="C242" s="23" t="n">
        <v>550.876</v>
      </c>
      <c r="D242" s="23" t="n">
        <v>473.9162</v>
      </c>
      <c r="E242" s="23" t="n">
        <v>100.79</v>
      </c>
      <c r="G242" s="25" t="n">
        <f aca="false">(B242-B241)/B241</f>
        <v>0.064275867532974</v>
      </c>
      <c r="H242" s="25" t="n">
        <f aca="false">(C242-C241)/C241</f>
        <v>0.0053068792338239</v>
      </c>
      <c r="I242" s="25" t="n">
        <f aca="false">(D242-D241)/D241</f>
        <v>0.0112807444977432</v>
      </c>
      <c r="J242" s="25" t="n">
        <f aca="false">(E242-E241)/E241</f>
        <v>0.041649441918148</v>
      </c>
      <c r="L242" s="24" t="n">
        <f aca="false">MAX($B$2:B242)</f>
        <v>149.207151</v>
      </c>
      <c r="M242" s="25" t="n">
        <f aca="false">(B242-L242)/L242</f>
        <v>-0.225385511181029</v>
      </c>
    </row>
    <row r="243" customFormat="false" ht="15" hidden="false" customHeight="false" outlineLevel="0" collapsed="false">
      <c r="A243" s="22" t="n">
        <v>45729</v>
      </c>
      <c r="B243" s="23" t="n">
        <v>115.418245</v>
      </c>
      <c r="C243" s="23" t="n">
        <v>543.532</v>
      </c>
      <c r="D243" s="23" t="n">
        <v>465.39024</v>
      </c>
      <c r="E243" s="23" t="n">
        <v>98.11</v>
      </c>
      <c r="G243" s="25" t="n">
        <f aca="false">(B243-B242)/B242</f>
        <v>-0.00138240816564949</v>
      </c>
      <c r="H243" s="25" t="n">
        <f aca="false">(C243-C242)/C242</f>
        <v>-0.0133314938389037</v>
      </c>
      <c r="I243" s="25" t="n">
        <f aca="false">(D243-D242)/D242</f>
        <v>-0.0179904379719452</v>
      </c>
      <c r="J243" s="25" t="n">
        <f aca="false">(E243-E242)/E242</f>
        <v>-0.0265899394781229</v>
      </c>
      <c r="L243" s="24" t="n">
        <f aca="false">MAX($B$2:B243)</f>
        <v>149.207151</v>
      </c>
      <c r="M243" s="25" t="n">
        <f aca="false">(B243-L243)/L243</f>
        <v>-0.226456344575603</v>
      </c>
    </row>
    <row r="244" customFormat="false" ht="15" hidden="false" customHeight="false" outlineLevel="0" collapsed="false">
      <c r="A244" s="22" t="n">
        <v>45730</v>
      </c>
      <c r="B244" s="23" t="n">
        <v>121.499722</v>
      </c>
      <c r="C244" s="23" t="n">
        <v>554.759</v>
      </c>
      <c r="D244" s="23" t="n">
        <v>476.638943</v>
      </c>
      <c r="E244" s="23" t="n">
        <v>100.97</v>
      </c>
      <c r="G244" s="25" t="n">
        <f aca="false">(B244-B243)/B243</f>
        <v>0.0526907769217944</v>
      </c>
      <c r="H244" s="25" t="n">
        <f aca="false">(C244-C243)/C243</f>
        <v>0.020655637570557</v>
      </c>
      <c r="I244" s="25" t="n">
        <f aca="false">(D244-D243)/D243</f>
        <v>0.0241704746537013</v>
      </c>
      <c r="J244" s="25" t="n">
        <f aca="false">(E244-E243)/E243</f>
        <v>0.0291509530119254</v>
      </c>
      <c r="L244" s="24" t="n">
        <f aca="false">MAX($B$2:B244)</f>
        <v>149.207151</v>
      </c>
      <c r="M244" s="25" t="n">
        <f aca="false">(B244-L244)/L244</f>
        <v>-0.185697728388367</v>
      </c>
    </row>
    <row r="245" customFormat="false" ht="15" hidden="false" customHeight="false" outlineLevel="0" collapsed="false">
      <c r="A245" s="22" t="n">
        <v>45733</v>
      </c>
      <c r="B245" s="23" t="n">
        <v>119.362717</v>
      </c>
      <c r="C245" s="23" t="n">
        <v>559.037</v>
      </c>
      <c r="D245" s="23" t="n">
        <v>479.729355</v>
      </c>
      <c r="E245" s="23" t="n">
        <v>104.59</v>
      </c>
      <c r="G245" s="25" t="n">
        <f aca="false">(B245-B244)/B244</f>
        <v>-0.0175885587622991</v>
      </c>
      <c r="H245" s="25" t="n">
        <f aca="false">(C245-C244)/C244</f>
        <v>0.00771145668659728</v>
      </c>
      <c r="I245" s="25" t="n">
        <f aca="false">(D245-D244)/D244</f>
        <v>0.00648375892357586</v>
      </c>
      <c r="J245" s="25" t="n">
        <f aca="false">(E245-E244)/E244</f>
        <v>0.0358522333366347</v>
      </c>
      <c r="L245" s="24" t="n">
        <f aca="false">MAX($B$2:B245)</f>
        <v>149.207151</v>
      </c>
      <c r="M245" s="25" t="n">
        <f aca="false">(B245-L245)/L245</f>
        <v>-0.200020131742881</v>
      </c>
    </row>
    <row r="246" customFormat="false" ht="15" hidden="false" customHeight="false" outlineLevel="0" collapsed="false">
      <c r="A246" s="22" t="n">
        <v>45734</v>
      </c>
      <c r="B246" s="23" t="n">
        <v>115.268455</v>
      </c>
      <c r="C246" s="23" t="n">
        <v>552.995</v>
      </c>
      <c r="D246" s="23" t="n">
        <v>471.55119</v>
      </c>
      <c r="E246" s="23" t="n">
        <v>103.51</v>
      </c>
      <c r="G246" s="25" t="n">
        <f aca="false">(B246-B245)/B245</f>
        <v>-0.034301012099113</v>
      </c>
      <c r="H246" s="25" t="n">
        <f aca="false">(C246-C245)/C245</f>
        <v>-0.0108078713931279</v>
      </c>
      <c r="I246" s="25" t="n">
        <f aca="false">(D246-D245)/D245</f>
        <v>-0.0170474558514352</v>
      </c>
      <c r="J246" s="25" t="n">
        <f aca="false">(E246-E245)/E245</f>
        <v>-0.0103260349937852</v>
      </c>
      <c r="L246" s="24" t="n">
        <f aca="false">MAX($B$2:B246)</f>
        <v>149.207151</v>
      </c>
      <c r="M246" s="25" t="n">
        <f aca="false">(B246-L246)/L246</f>
        <v>-0.227460250883016</v>
      </c>
    </row>
    <row r="247" customFormat="false" ht="15" hidden="false" customHeight="false" outlineLevel="0" collapsed="false">
      <c r="A247" s="22" t="n">
        <v>45735</v>
      </c>
      <c r="B247" s="23" t="n">
        <v>117.35553</v>
      </c>
      <c r="C247" s="23" t="n">
        <v>559.018</v>
      </c>
      <c r="D247" s="23" t="n">
        <v>477.861196</v>
      </c>
      <c r="E247" s="23" t="n">
        <v>106.23</v>
      </c>
      <c r="G247" s="25" t="n">
        <f aca="false">(B247-B246)/B246</f>
        <v>0.0181062112787059</v>
      </c>
      <c r="H247" s="25" t="n">
        <f aca="false">(C247-C246)/C246</f>
        <v>0.0108915993815496</v>
      </c>
      <c r="I247" s="25" t="n">
        <f aca="false">(D247-D246)/D246</f>
        <v>0.0133813807149972</v>
      </c>
      <c r="J247" s="25" t="n">
        <f aca="false">(E247-E246)/E246</f>
        <v>0.0262776543329147</v>
      </c>
      <c r="L247" s="24" t="n">
        <f aca="false">MAX($B$2:B247)</f>
        <v>149.207151</v>
      </c>
      <c r="M247" s="25" t="n">
        <f aca="false">(B247-L247)/L247</f>
        <v>-0.213472482964305</v>
      </c>
    </row>
    <row r="248" customFormat="false" ht="15" hidden="false" customHeight="false" outlineLevel="0" collapsed="false">
      <c r="A248" s="22" t="n">
        <v>45736</v>
      </c>
      <c r="B248" s="23" t="n">
        <v>118.364116</v>
      </c>
      <c r="C248" s="23" t="n">
        <v>557.401</v>
      </c>
      <c r="D248" s="23" t="n">
        <v>476.241462</v>
      </c>
      <c r="E248" s="23" t="n">
        <v>107.14</v>
      </c>
      <c r="G248" s="25" t="n">
        <f aca="false">(B248-B247)/B247</f>
        <v>0.00859427757686403</v>
      </c>
      <c r="H248" s="25" t="n">
        <f aca="false">(C248-C247)/C247</f>
        <v>-0.00289257233219695</v>
      </c>
      <c r="I248" s="25" t="n">
        <f aca="false">(D248-D247)/D247</f>
        <v>-0.00338954912756715</v>
      </c>
      <c r="J248" s="25" t="n">
        <f aca="false">(E248-E247)/E247</f>
        <v>0.00856631836581</v>
      </c>
      <c r="L248" s="24" t="n">
        <f aca="false">MAX($B$2:B248)</f>
        <v>149.207151</v>
      </c>
      <c r="M248" s="25" t="n">
        <f aca="false">(B248-L248)/L248</f>
        <v>-0.206712847161059</v>
      </c>
    </row>
    <row r="249" customFormat="false" ht="15" hidden="false" customHeight="false" outlineLevel="0" collapsed="false">
      <c r="A249" s="22" t="n">
        <v>45737</v>
      </c>
      <c r="B249" s="23" t="n">
        <v>117.535278</v>
      </c>
      <c r="C249" s="23" t="n">
        <v>557.584</v>
      </c>
      <c r="D249" s="23" t="n">
        <v>477.811511</v>
      </c>
      <c r="E249" s="23" t="n">
        <v>106.44</v>
      </c>
      <c r="G249" s="25" t="n">
        <f aca="false">(B249-B248)/B248</f>
        <v>-0.00700244320668935</v>
      </c>
      <c r="H249" s="25" t="n">
        <f aca="false">(C249-C248)/C248</f>
        <v>0.000328309421762775</v>
      </c>
      <c r="I249" s="25" t="n">
        <f aca="false">(D249-D248)/D248</f>
        <v>0.00329674991632707</v>
      </c>
      <c r="J249" s="25" t="n">
        <f aca="false">(E249-E248)/E248</f>
        <v>-0.00653350756020163</v>
      </c>
      <c r="L249" s="24" t="n">
        <f aca="false">MAX($B$2:B249)</f>
        <v>149.207151</v>
      </c>
      <c r="M249" s="25" t="n">
        <f aca="false">(B249-L249)/L249</f>
        <v>-0.21226779539541</v>
      </c>
    </row>
    <row r="250" customFormat="false" ht="15" hidden="false" customHeight="false" outlineLevel="0" collapsed="false">
      <c r="A250" s="22" t="n">
        <v>45740</v>
      </c>
      <c r="B250" s="23" t="n">
        <v>121.240086</v>
      </c>
      <c r="C250" s="23" t="n">
        <v>567.569</v>
      </c>
      <c r="D250" s="23" t="n">
        <v>488.29647</v>
      </c>
      <c r="E250" s="23" t="n">
        <v>113.85</v>
      </c>
      <c r="G250" s="25" t="n">
        <f aca="false">(B250-B249)/B249</f>
        <v>0.0315208170945918</v>
      </c>
      <c r="H250" s="25" t="n">
        <f aca="false">(C250-C249)/C249</f>
        <v>0.0179076157135069</v>
      </c>
      <c r="I250" s="25" t="n">
        <f aca="false">(D250-D249)/D249</f>
        <v>0.021943713700108</v>
      </c>
      <c r="J250" s="25" t="n">
        <f aca="false">(E250-E249)/E249</f>
        <v>0.0696166854565952</v>
      </c>
      <c r="L250" s="24" t="n">
        <f aca="false">MAX($B$2:B250)</f>
        <v>149.207151</v>
      </c>
      <c r="M250" s="25" t="n">
        <f aca="false">(B250-L250)/L250</f>
        <v>-0.187437832654549</v>
      </c>
    </row>
    <row r="251" customFormat="false" ht="15" hidden="false" customHeight="false" outlineLevel="0" collapsed="false">
      <c r="A251" s="22" t="n">
        <v>45741</v>
      </c>
      <c r="B251" s="23" t="n">
        <v>120.521093</v>
      </c>
      <c r="C251" s="23" t="n">
        <v>568.934</v>
      </c>
      <c r="D251" s="23" t="n">
        <v>491.082982</v>
      </c>
      <c r="E251" s="23" t="n">
        <v>114.81</v>
      </c>
      <c r="G251" s="25" t="n">
        <f aca="false">(B251-B250)/B250</f>
        <v>-0.00593032406789955</v>
      </c>
      <c r="H251" s="25" t="n">
        <f aca="false">(C251-C250)/C250</f>
        <v>0.00240499393025343</v>
      </c>
      <c r="I251" s="25" t="n">
        <f aca="false">(D251-D250)/D250</f>
        <v>0.00570659869812292</v>
      </c>
      <c r="J251" s="25" t="n">
        <f aca="false">(E251-E250)/E250</f>
        <v>0.00843214756258242</v>
      </c>
      <c r="L251" s="24" t="n">
        <f aca="false">MAX($B$2:B251)</f>
        <v>149.207151</v>
      </c>
      <c r="M251" s="25" t="n">
        <f aca="false">(B251-L251)/L251</f>
        <v>-0.192256589632222</v>
      </c>
    </row>
    <row r="252" customFormat="false" ht="15" hidden="false" customHeight="false" outlineLevel="0" collapsed="false">
      <c r="A252" s="22" t="n">
        <v>45742</v>
      </c>
      <c r="B252" s="23" t="n">
        <v>113.600792</v>
      </c>
      <c r="C252" s="23" t="n">
        <v>562.142</v>
      </c>
      <c r="D252" s="23" t="n">
        <v>482.046721</v>
      </c>
      <c r="E252" s="23" t="n">
        <v>110.19</v>
      </c>
      <c r="G252" s="25" t="n">
        <f aca="false">(B252-B251)/B251</f>
        <v>-0.0574198327258781</v>
      </c>
      <c r="H252" s="25" t="n">
        <f aca="false">(C252-C251)/C251</f>
        <v>-0.01193811584472</v>
      </c>
      <c r="I252" s="25" t="n">
        <f aca="false">(D252-D251)/D251</f>
        <v>-0.0184006803966178</v>
      </c>
      <c r="J252" s="25" t="n">
        <f aca="false">(E252-E251)/E251</f>
        <v>-0.0402403971779462</v>
      </c>
      <c r="L252" s="24" t="n">
        <f aca="false">MAX($B$2:B252)</f>
        <v>149.207151</v>
      </c>
      <c r="M252" s="25" t="n">
        <f aca="false">(B252-L252)/L252</f>
        <v>-0.23863708114097</v>
      </c>
    </row>
    <row r="253" customFormat="false" ht="15" hidden="false" customHeight="false" outlineLevel="0" collapsed="false">
      <c r="A253" s="22" t="n">
        <v>45743</v>
      </c>
      <c r="B253" s="23" t="n">
        <v>111.274053</v>
      </c>
      <c r="C253" s="23" t="n">
        <v>560.649</v>
      </c>
      <c r="D253" s="23" t="n">
        <v>479.300016</v>
      </c>
      <c r="E253" s="23" t="n">
        <v>106.65</v>
      </c>
      <c r="G253" s="25" t="n">
        <f aca="false">(B253-B252)/B252</f>
        <v>-0.0204817145993137</v>
      </c>
      <c r="H253" s="25" t="n">
        <f aca="false">(C253-C252)/C252</f>
        <v>-0.00265591256301798</v>
      </c>
      <c r="I253" s="25" t="n">
        <f aca="false">(D253-D252)/D252</f>
        <v>-0.0056980057748385</v>
      </c>
      <c r="J253" s="25" t="n">
        <f aca="false">(E253-E252)/E252</f>
        <v>-0.0321263272529267</v>
      </c>
      <c r="L253" s="24" t="n">
        <f aca="false">MAX($B$2:B253)</f>
        <v>149.207151</v>
      </c>
      <c r="M253" s="25" t="n">
        <f aca="false">(B253-L253)/L253</f>
        <v>-0.254231099151541</v>
      </c>
    </row>
    <row r="254" customFormat="false" ht="15" hidden="false" customHeight="false" outlineLevel="0" collapsed="false">
      <c r="A254" s="22" t="n">
        <v>45744</v>
      </c>
      <c r="B254" s="23" t="n">
        <v>109.516516</v>
      </c>
      <c r="C254" s="23" t="n">
        <v>549.358</v>
      </c>
      <c r="D254" s="23" t="n">
        <v>466.681096</v>
      </c>
      <c r="E254" s="23" t="n">
        <v>103.22</v>
      </c>
      <c r="G254" s="25" t="n">
        <f aca="false">(B254-B253)/B253</f>
        <v>-0.0157946704790199</v>
      </c>
      <c r="H254" s="25" t="n">
        <f aca="false">(C254-C253)/C253</f>
        <v>-0.0201391601518955</v>
      </c>
      <c r="I254" s="25" t="n">
        <f aca="false">(D254-D253)/D253</f>
        <v>-0.0263278105127374</v>
      </c>
      <c r="J254" s="25" t="n">
        <f aca="false">(E254-E253)/E253</f>
        <v>-0.0321612751992499</v>
      </c>
      <c r="L254" s="24" t="n">
        <f aca="false">MAX($B$2:B254)</f>
        <v>149.207151</v>
      </c>
      <c r="M254" s="25" t="n">
        <f aca="false">(B254-L254)/L254</f>
        <v>-0.266010273193944</v>
      </c>
    </row>
    <row r="255" customFormat="false" ht="15" hidden="false" customHeight="false" outlineLevel="0" collapsed="false">
      <c r="A255" s="22" t="n">
        <v>45747</v>
      </c>
      <c r="B255" s="23" t="n">
        <v>108.228321</v>
      </c>
      <c r="C255" s="23" t="n">
        <v>553.046</v>
      </c>
      <c r="D255" s="23" t="n">
        <v>466.661193</v>
      </c>
      <c r="E255" s="23" t="n">
        <v>102.74</v>
      </c>
      <c r="G255" s="25" t="n">
        <f aca="false">(B255-B254)/B254</f>
        <v>-0.0117625637397012</v>
      </c>
      <c r="H255" s="25" t="n">
        <f aca="false">(C255-C254)/C254</f>
        <v>0.0067132907867003</v>
      </c>
      <c r="I255" s="25" t="n">
        <f aca="false">(D255-D254)/D254</f>
        <v>-4.26479670391434E-005</v>
      </c>
      <c r="J255" s="25" t="n">
        <f aca="false">(E255-E254)/E254</f>
        <v>-0.00465026157721376</v>
      </c>
      <c r="L255" s="24" t="n">
        <f aca="false">MAX($B$2:B255)</f>
        <v>149.207151</v>
      </c>
      <c r="M255" s="25" t="n">
        <f aca="false">(B255-L255)/L255</f>
        <v>-0.274643874139786</v>
      </c>
    </row>
    <row r="256" customFormat="false" ht="15" hidden="false" customHeight="false" outlineLevel="0" collapsed="false">
      <c r="A256" s="22" t="n">
        <v>45748</v>
      </c>
      <c r="B256" s="23" t="n">
        <v>109.995844</v>
      </c>
      <c r="C256" s="23" t="n">
        <v>554.608</v>
      </c>
      <c r="D256" s="23" t="n">
        <v>470.422984</v>
      </c>
      <c r="E256" s="23" t="n">
        <v>102.78</v>
      </c>
      <c r="G256" s="25" t="n">
        <f aca="false">(B256-B255)/B255</f>
        <v>0.016331427704584</v>
      </c>
      <c r="H256" s="25" t="n">
        <f aca="false">(C256-C255)/C255</f>
        <v>0.00282435819081939</v>
      </c>
      <c r="I256" s="25" t="n">
        <f aca="false">(D256-D255)/D255</f>
        <v>0.00806107526494057</v>
      </c>
      <c r="J256" s="25" t="n">
        <f aca="false">(E256-E255)/E255</f>
        <v>0.000389332295113941</v>
      </c>
      <c r="L256" s="24" t="n">
        <f aca="false">MAX($B$2:B256)</f>
        <v>149.207151</v>
      </c>
      <c r="M256" s="25" t="n">
        <f aca="false">(B256-L256)/L256</f>
        <v>-0.262797773010223</v>
      </c>
    </row>
    <row r="257" customFormat="false" ht="15" hidden="false" customHeight="false" outlineLevel="0" collapsed="false">
      <c r="A257" s="22" t="n">
        <v>45749</v>
      </c>
      <c r="B257" s="23" t="n">
        <v>110.265466</v>
      </c>
      <c r="C257" s="23" t="n">
        <v>558.118</v>
      </c>
      <c r="D257" s="23" t="n">
        <v>473.856365</v>
      </c>
      <c r="E257" s="23" t="n">
        <v>102.96</v>
      </c>
      <c r="G257" s="25" t="n">
        <f aca="false">(B257-B256)/B256</f>
        <v>0.0024512017017661</v>
      </c>
      <c r="H257" s="25" t="n">
        <f aca="false">(C257-C256)/C256</f>
        <v>0.0063287943917147</v>
      </c>
      <c r="I257" s="25" t="n">
        <f aca="false">(D257-D256)/D256</f>
        <v>0.007298497558104</v>
      </c>
      <c r="J257" s="25" t="n">
        <f aca="false">(E257-E256)/E256</f>
        <v>0.00175131348511376</v>
      </c>
      <c r="L257" s="24" t="n">
        <f aca="false">MAX($B$2:B257)</f>
        <v>149.207151</v>
      </c>
      <c r="M257" s="25" t="n">
        <f aca="false">(B257-L257)/L257</f>
        <v>-0.260990741656879</v>
      </c>
    </row>
    <row r="258" customFormat="false" ht="15" hidden="false" customHeight="false" outlineLevel="0" collapsed="false">
      <c r="A258" s="22" t="n">
        <v>45750</v>
      </c>
      <c r="B258" s="23" t="n">
        <v>101.65753</v>
      </c>
      <c r="C258" s="23" t="n">
        <v>530.613</v>
      </c>
      <c r="D258" s="23" t="n">
        <v>448.489152</v>
      </c>
      <c r="E258" s="23" t="n">
        <v>93.8</v>
      </c>
      <c r="G258" s="25" t="n">
        <f aca="false">(B258-B257)/B257</f>
        <v>-0.0780655658771715</v>
      </c>
      <c r="H258" s="25" t="n">
        <f aca="false">(C258-C257)/C257</f>
        <v>-0.0492816931186595</v>
      </c>
      <c r="I258" s="25" t="n">
        <f aca="false">(D258-D257)/D257</f>
        <v>-0.0535335491378279</v>
      </c>
      <c r="J258" s="25" t="n">
        <f aca="false">(E258-E257)/E257</f>
        <v>-0.0889665889665889</v>
      </c>
      <c r="L258" s="24" t="n">
        <f aca="false">MAX($B$2:B258)</f>
        <v>149.207151</v>
      </c>
      <c r="M258" s="25" t="n">
        <f aca="false">(B258-L258)/L258</f>
        <v>-0.318681917597904</v>
      </c>
    </row>
    <row r="259" customFormat="false" ht="15" hidden="false" customHeight="false" outlineLevel="0" collapsed="false">
      <c r="A259" s="22" t="n">
        <v>45751</v>
      </c>
      <c r="B259" s="23" t="n">
        <v>94.178012</v>
      </c>
      <c r="C259" s="23" t="n">
        <v>499.55</v>
      </c>
      <c r="D259" s="23" t="n">
        <v>420.633981</v>
      </c>
      <c r="E259" s="23" t="n">
        <v>85.76</v>
      </c>
      <c r="G259" s="25" t="n">
        <f aca="false">(B259-B258)/B258</f>
        <v>-0.0735756416666822</v>
      </c>
      <c r="H259" s="25" t="n">
        <f aca="false">(C259-C258)/C258</f>
        <v>-0.0585417243829308</v>
      </c>
      <c r="I259" s="25" t="n">
        <f aca="false">(D259-D258)/D258</f>
        <v>-0.0621089069284779</v>
      </c>
      <c r="J259" s="25" t="n">
        <f aca="false">(E259-E258)/E258</f>
        <v>-0.0857142857142856</v>
      </c>
      <c r="L259" s="24" t="n">
        <f aca="false">MAX($B$2:B259)</f>
        <v>149.207151</v>
      </c>
      <c r="M259" s="25" t="n">
        <f aca="false">(B259-L259)/L259</f>
        <v>-0.368810332689752</v>
      </c>
    </row>
    <row r="260" customFormat="false" ht="15" hidden="false" customHeight="false" outlineLevel="0" collapsed="false">
      <c r="A260" s="22" t="n">
        <v>45754</v>
      </c>
      <c r="B260" s="23" t="n">
        <v>97.503352</v>
      </c>
      <c r="C260" s="23" t="n">
        <v>498.66</v>
      </c>
      <c r="D260" s="23" t="n">
        <v>421.649067</v>
      </c>
      <c r="E260" s="23" t="n">
        <v>83.64</v>
      </c>
      <c r="G260" s="25" t="n">
        <f aca="false">(B260-B259)/B259</f>
        <v>0.0353090910434594</v>
      </c>
      <c r="H260" s="25" t="n">
        <f aca="false">(C260-C259)/C259</f>
        <v>-0.00178160344309876</v>
      </c>
      <c r="I260" s="25" t="n">
        <f aca="false">(D260-D259)/D259</f>
        <v>0.00241322871154339</v>
      </c>
      <c r="J260" s="25" t="n">
        <f aca="false">(E260-E259)/E259</f>
        <v>-0.0247201492537314</v>
      </c>
      <c r="L260" s="24" t="n">
        <f aca="false">MAX($B$2:B260)</f>
        <v>149.207151</v>
      </c>
      <c r="M260" s="25" t="n">
        <f aca="false">(B260-L260)/L260</f>
        <v>-0.346523599261003</v>
      </c>
    </row>
    <row r="261" customFormat="false" ht="15" hidden="false" customHeight="false" outlineLevel="0" collapsed="false">
      <c r="A261" s="22" t="n">
        <v>45755</v>
      </c>
      <c r="B261" s="23" t="n">
        <v>96.165227</v>
      </c>
      <c r="C261" s="23" t="n">
        <v>490.849</v>
      </c>
      <c r="D261" s="23" t="n">
        <v>414.055821</v>
      </c>
      <c r="E261" s="23" t="n">
        <v>78.21</v>
      </c>
      <c r="G261" s="25" t="n">
        <f aca="false">(B261-B260)/B260</f>
        <v>-0.0137238871541566</v>
      </c>
      <c r="H261" s="25" t="n">
        <f aca="false">(C261-C260)/C260</f>
        <v>-0.0156639794649662</v>
      </c>
      <c r="I261" s="25" t="n">
        <f aca="false">(D261-D260)/D260</f>
        <v>-0.0180084496665091</v>
      </c>
      <c r="J261" s="25" t="n">
        <f aca="false">(E261-E260)/E260</f>
        <v>-0.0649210903873746</v>
      </c>
      <c r="L261" s="24" t="n">
        <f aca="false">MAX($B$2:B261)</f>
        <v>149.207151</v>
      </c>
      <c r="M261" s="25" t="n">
        <f aca="false">(B261-L261)/L261</f>
        <v>-0.35549183564265</v>
      </c>
    </row>
    <row r="262" customFormat="false" ht="15" hidden="false" customHeight="false" outlineLevel="0" collapsed="false">
      <c r="A262" s="22" t="n">
        <v>45756</v>
      </c>
      <c r="B262" s="23" t="n">
        <v>114.169994</v>
      </c>
      <c r="C262" s="23" t="n">
        <v>542.398</v>
      </c>
      <c r="D262" s="23" t="n">
        <v>463.755258</v>
      </c>
      <c r="E262" s="23" t="n">
        <v>96.84</v>
      </c>
      <c r="G262" s="25" t="n">
        <f aca="false">(B262-B261)/B261</f>
        <v>0.187227416413211</v>
      </c>
      <c r="H262" s="25" t="n">
        <f aca="false">(C262-C261)/C261</f>
        <v>0.10502007745763</v>
      </c>
      <c r="I262" s="25" t="n">
        <f aca="false">(D262-D261)/D261</f>
        <v>0.120030765127198</v>
      </c>
      <c r="J262" s="25" t="n">
        <f aca="false">(E262-E261)/E261</f>
        <v>0.238204833141542</v>
      </c>
      <c r="L262" s="24" t="n">
        <f aca="false">MAX($B$2:B262)</f>
        <v>149.207151</v>
      </c>
      <c r="M262" s="25" t="n">
        <f aca="false">(B262-L262)/L262</f>
        <v>-0.234822237172801</v>
      </c>
    </row>
    <row r="263" customFormat="false" ht="15" hidden="false" customHeight="false" outlineLevel="0" collapsed="false">
      <c r="A263" s="22" t="n">
        <v>45757</v>
      </c>
      <c r="B263" s="23" t="n">
        <v>107.419455</v>
      </c>
      <c r="C263" s="23" t="n">
        <v>518.631</v>
      </c>
      <c r="D263" s="23" t="n">
        <v>444.030732</v>
      </c>
      <c r="E263" s="23" t="n">
        <v>88.7</v>
      </c>
      <c r="G263" s="25" t="n">
        <f aca="false">(B263-B262)/B262</f>
        <v>-0.0591270855282694</v>
      </c>
      <c r="H263" s="25" t="n">
        <f aca="false">(C263-C262)/C262</f>
        <v>-0.0438183769114194</v>
      </c>
      <c r="I263" s="25" t="n">
        <f aca="false">(D263-D262)/D262</f>
        <v>-0.0425321883897649</v>
      </c>
      <c r="J263" s="25" t="n">
        <f aca="false">(E263-E262)/E262</f>
        <v>-0.084056175134242</v>
      </c>
      <c r="L263" s="24" t="n">
        <f aca="false">MAX($B$2:B263)</f>
        <v>149.207151</v>
      </c>
      <c r="M263" s="25" t="n">
        <f aca="false">(B263-L263)/L263</f>
        <v>-0.280064968199815</v>
      </c>
    </row>
    <row r="264" customFormat="false" ht="15" hidden="false" customHeight="false" outlineLevel="0" collapsed="false">
      <c r="A264" s="22" t="n">
        <v>45758</v>
      </c>
      <c r="B264" s="23" t="n">
        <v>110.774752</v>
      </c>
      <c r="C264" s="23" t="n">
        <v>527.885</v>
      </c>
      <c r="D264" s="23" t="n">
        <v>452.211136</v>
      </c>
      <c r="E264" s="23" t="n">
        <v>93.4</v>
      </c>
      <c r="G264" s="25" t="n">
        <f aca="false">(B264-B263)/B263</f>
        <v>0.0312354684726338</v>
      </c>
      <c r="H264" s="25" t="n">
        <f aca="false">(C264-C263)/C263</f>
        <v>0.0178431293154478</v>
      </c>
      <c r="I264" s="25" t="n">
        <f aca="false">(D264-D263)/D263</f>
        <v>0.0184230581589565</v>
      </c>
      <c r="J264" s="25" t="n">
        <f aca="false">(E264-E263)/E263</f>
        <v>0.0529875986471252</v>
      </c>
      <c r="L264" s="24" t="n">
        <f aca="false">MAX($B$2:B264)</f>
        <v>149.207151</v>
      </c>
      <c r="M264" s="25" t="n">
        <f aca="false">(B264-L264)/L264</f>
        <v>-0.257577460211676</v>
      </c>
    </row>
    <row r="265" customFormat="false" ht="15" hidden="false" customHeight="false" outlineLevel="0" collapsed="false">
      <c r="A265" s="22" t="n">
        <v>45761</v>
      </c>
      <c r="B265" s="23" t="n">
        <v>110.55506</v>
      </c>
      <c r="C265" s="23" t="n">
        <v>533.006</v>
      </c>
      <c r="D265" s="23" t="n">
        <v>455.276299</v>
      </c>
      <c r="E265" s="23" t="n">
        <v>94.5</v>
      </c>
      <c r="G265" s="25" t="n">
        <f aca="false">(B265-B264)/B264</f>
        <v>-0.00198323170247322</v>
      </c>
      <c r="H265" s="25" t="n">
        <f aca="false">(C265-C264)/C264</f>
        <v>0.00970097653845057</v>
      </c>
      <c r="I265" s="25" t="n">
        <f aca="false">(D265-D264)/D264</f>
        <v>0.00677816788660415</v>
      </c>
      <c r="J265" s="25" t="n">
        <f aca="false">(E265-E264)/E264</f>
        <v>0.0117773019271948</v>
      </c>
      <c r="L265" s="24" t="n">
        <f aca="false">MAX($B$2:B265)</f>
        <v>149.207151</v>
      </c>
      <c r="M265" s="25" t="n">
        <f aca="false">(B265-L265)/L265</f>
        <v>-0.259049856129215</v>
      </c>
    </row>
    <row r="266" customFormat="false" ht="15" hidden="false" customHeight="false" outlineLevel="0" collapsed="false">
      <c r="A266" s="22" t="n">
        <v>45762</v>
      </c>
      <c r="B266" s="23" t="n">
        <v>112.042975</v>
      </c>
      <c r="C266" s="23" t="n">
        <v>531.513</v>
      </c>
      <c r="D266" s="23" t="n">
        <v>455.783843</v>
      </c>
      <c r="E266" s="23" t="n">
        <v>95.29</v>
      </c>
      <c r="G266" s="25" t="n">
        <f aca="false">(B266-B265)/B265</f>
        <v>0.013458587965128</v>
      </c>
      <c r="H266" s="25" t="n">
        <f aca="false">(C266-C265)/C265</f>
        <v>-0.00280109417154767</v>
      </c>
      <c r="I266" s="25" t="n">
        <f aca="false">(D266-D265)/D265</f>
        <v>0.00111480435312534</v>
      </c>
      <c r="J266" s="25" t="n">
        <f aca="false">(E266-E265)/E265</f>
        <v>0.00835978835978843</v>
      </c>
      <c r="L266" s="24" t="n">
        <f aca="false">MAX($B$2:B266)</f>
        <v>149.207151</v>
      </c>
      <c r="M266" s="25" t="n">
        <f aca="false">(B266-L266)/L266</f>
        <v>-0.249077713440155</v>
      </c>
    </row>
    <row r="267" customFormat="false" ht="15" hidden="false" customHeight="false" outlineLevel="0" collapsed="false">
      <c r="A267" s="22" t="n">
        <v>45763</v>
      </c>
      <c r="B267" s="23" t="n">
        <v>104.343765</v>
      </c>
      <c r="C267" s="23" t="n">
        <v>519.699</v>
      </c>
      <c r="D267" s="23" t="n">
        <v>442.040366</v>
      </c>
      <c r="E267" s="23" t="n">
        <v>88.29</v>
      </c>
      <c r="G267" s="25" t="n">
        <f aca="false">(B267-B266)/B266</f>
        <v>-0.0687165795088893</v>
      </c>
      <c r="H267" s="25" t="n">
        <f aca="false">(C267-C266)/C266</f>
        <v>-0.0222271139181922</v>
      </c>
      <c r="I267" s="25" t="n">
        <f aca="false">(D267-D266)/D266</f>
        <v>-0.0301534975648533</v>
      </c>
      <c r="J267" s="25" t="n">
        <f aca="false">(E267-E266)/E266</f>
        <v>-0.0734599643194459</v>
      </c>
      <c r="L267" s="24" t="n">
        <f aca="false">MAX($B$2:B267)</f>
        <v>149.207151</v>
      </c>
      <c r="M267" s="25" t="n">
        <f aca="false">(B267-L267)/L267</f>
        <v>-0.300678524449542</v>
      </c>
    </row>
    <row r="268" customFormat="false" ht="15" hidden="false" customHeight="false" outlineLevel="0" collapsed="false">
      <c r="A268" s="22" t="n">
        <v>45764</v>
      </c>
      <c r="B268" s="23" t="n">
        <v>101.347964</v>
      </c>
      <c r="C268" s="23" t="n">
        <v>520.44</v>
      </c>
      <c r="D268" s="23" t="n">
        <v>441.960752</v>
      </c>
      <c r="E268" s="23" t="n">
        <v>87.5</v>
      </c>
      <c r="G268" s="25" t="n">
        <f aca="false">(B268-B267)/B267</f>
        <v>-0.0287108769747766</v>
      </c>
      <c r="H268" s="25" t="n">
        <f aca="false">(C268-C267)/C267</f>
        <v>0.00142582533351055</v>
      </c>
      <c r="I268" s="25" t="n">
        <f aca="false">(D268-D267)/D267</f>
        <v>-0.000180105723647854</v>
      </c>
      <c r="J268" s="25" t="n">
        <f aca="false">(E268-E267)/E267</f>
        <v>-0.00894778570619556</v>
      </c>
      <c r="L268" s="24" t="n">
        <f aca="false">MAX($B$2:B268)</f>
        <v>149.207151</v>
      </c>
      <c r="M268" s="25" t="n">
        <f aca="false">(B268-L268)/L268</f>
        <v>-0.32075665729989</v>
      </c>
    </row>
    <row r="269" customFormat="false" ht="15" hidden="false" customHeight="false" outlineLevel="0" collapsed="false">
      <c r="A269" s="22" t="n">
        <v>45768</v>
      </c>
      <c r="B269" s="23" t="n">
        <v>96.774374</v>
      </c>
      <c r="C269" s="23" t="n">
        <v>508.052</v>
      </c>
      <c r="D269" s="23" t="n">
        <v>431.023691</v>
      </c>
      <c r="E269" s="23" t="n">
        <v>85.56</v>
      </c>
      <c r="G269" s="25" t="n">
        <f aca="false">(B269-B268)/B268</f>
        <v>-0.0451275962485049</v>
      </c>
      <c r="H269" s="25" t="n">
        <f aca="false">(C269-C268)/C268</f>
        <v>-0.0238029359772501</v>
      </c>
      <c r="I269" s="25" t="n">
        <f aca="false">(D269-D268)/D268</f>
        <v>-0.0247466793159951</v>
      </c>
      <c r="J269" s="25" t="n">
        <f aca="false">(E269-E268)/E268</f>
        <v>-0.0221714285714285</v>
      </c>
      <c r="L269" s="24" t="n">
        <f aca="false">MAX($B$2:B269)</f>
        <v>149.207151</v>
      </c>
      <c r="M269" s="25" t="n">
        <f aca="false">(B269-L269)/L269</f>
        <v>-0.351409276623746</v>
      </c>
    </row>
    <row r="270" customFormat="false" ht="15" hidden="false" customHeight="false" outlineLevel="0" collapsed="false">
      <c r="A270" s="22" t="n">
        <v>45769</v>
      </c>
      <c r="B270" s="23" t="n">
        <v>98.751603</v>
      </c>
      <c r="C270" s="23" t="n">
        <v>521.271</v>
      </c>
      <c r="D270" s="23" t="n">
        <v>442.338921</v>
      </c>
      <c r="E270" s="23" t="n">
        <v>86.26</v>
      </c>
      <c r="G270" s="25" t="n">
        <f aca="false">(B270-B269)/B269</f>
        <v>0.0204313282357167</v>
      </c>
      <c r="H270" s="25" t="n">
        <f aca="false">(C270-C269)/C269</f>
        <v>0.0260189901821072</v>
      </c>
      <c r="I270" s="25" t="n">
        <f aca="false">(D270-D269)/D269</f>
        <v>0.0262519908679452</v>
      </c>
      <c r="J270" s="25" t="n">
        <f aca="false">(E270-E269)/E269</f>
        <v>0.00818139317438059</v>
      </c>
      <c r="L270" s="24" t="n">
        <f aca="false">MAX($B$2:B270)</f>
        <v>149.207151</v>
      </c>
      <c r="M270" s="25" t="n">
        <f aca="false">(B270-L270)/L270</f>
        <v>-0.338157706663805</v>
      </c>
    </row>
    <row r="271" customFormat="false" ht="15" hidden="false" customHeight="false" outlineLevel="0" collapsed="false">
      <c r="A271" s="22" t="n">
        <v>45770</v>
      </c>
      <c r="B271" s="23" t="n">
        <v>102.566256</v>
      </c>
      <c r="C271" s="23" t="n">
        <v>529.348</v>
      </c>
      <c r="D271" s="23" t="n">
        <v>452.370365</v>
      </c>
      <c r="E271" s="23" t="n">
        <v>90.39</v>
      </c>
      <c r="G271" s="25" t="n">
        <f aca="false">(B271-B270)/B270</f>
        <v>0.0386287704109471</v>
      </c>
      <c r="H271" s="25" t="n">
        <f aca="false">(C271-C270)/C270</f>
        <v>0.0154948193933674</v>
      </c>
      <c r="I271" s="25" t="n">
        <f aca="false">(D271-D270)/D270</f>
        <v>0.0226781852641901</v>
      </c>
      <c r="J271" s="25" t="n">
        <f aca="false">(E271-E270)/E270</f>
        <v>0.0478785068397866</v>
      </c>
      <c r="L271" s="24" t="n">
        <f aca="false">MAX($B$2:B271)</f>
        <v>149.207151</v>
      </c>
      <c r="M271" s="25" t="n">
        <f aca="false">(B271-L271)/L271</f>
        <v>-0.312591552666266</v>
      </c>
    </row>
    <row r="272" customFormat="false" ht="15" hidden="false" customHeight="false" outlineLevel="0" collapsed="false">
      <c r="A272" s="22" t="n">
        <v>45771</v>
      </c>
      <c r="B272" s="23" t="n">
        <v>106.28105</v>
      </c>
      <c r="C272" s="23" t="n">
        <v>540.49</v>
      </c>
      <c r="D272" s="23" t="n">
        <v>465.098755</v>
      </c>
      <c r="E272" s="23" t="n">
        <v>94.47</v>
      </c>
      <c r="G272" s="25" t="n">
        <f aca="false">(B272-B271)/B271</f>
        <v>0.0362184810567717</v>
      </c>
      <c r="H272" s="25" t="n">
        <f aca="false">(C272-C271)/C271</f>
        <v>0.0210485351791261</v>
      </c>
      <c r="I272" s="25" t="n">
        <f aca="false">(D272-D271)/D271</f>
        <v>0.0281370995644244</v>
      </c>
      <c r="J272" s="25" t="n">
        <f aca="false">(E272-E271)/E271</f>
        <v>0.0451377364752738</v>
      </c>
      <c r="L272" s="24" t="n">
        <f aca="false">MAX($B$2:B272)</f>
        <v>149.207151</v>
      </c>
      <c r="M272" s="25" t="n">
        <f aca="false">(B272-L272)/L272</f>
        <v>-0.287694662838244</v>
      </c>
    </row>
    <row r="273" customFormat="false" ht="15" hidden="false" customHeight="false" outlineLevel="0" collapsed="false">
      <c r="A273" s="22" t="n">
        <v>45772</v>
      </c>
      <c r="B273" s="23" t="n">
        <v>110.854641</v>
      </c>
      <c r="C273" s="23" t="n">
        <v>544.395</v>
      </c>
      <c r="D273" s="23" t="n">
        <v>470.283658</v>
      </c>
      <c r="E273" s="23" t="n">
        <v>96.645</v>
      </c>
      <c r="G273" s="25" t="n">
        <f aca="false">(B273-B272)/B272</f>
        <v>0.0430329865954468</v>
      </c>
      <c r="H273" s="25" t="n">
        <f aca="false">(C273-C272)/C272</f>
        <v>0.00722492553053705</v>
      </c>
      <c r="I273" s="25" t="n">
        <f aca="false">(D273-D272)/D272</f>
        <v>0.0111479614689573</v>
      </c>
      <c r="J273" s="25" t="n">
        <f aca="false">(E273-E272)/E272</f>
        <v>0.0230231819625278</v>
      </c>
      <c r="L273" s="24" t="n">
        <f aca="false">MAX($B$2:B273)</f>
        <v>149.207151</v>
      </c>
      <c r="M273" s="25" t="n">
        <f aca="false">(B273-L273)/L273</f>
        <v>-0.257042036812297</v>
      </c>
    </row>
    <row r="274" customFormat="false" ht="15" hidden="false" customHeight="false" outlineLevel="0" collapsed="false">
      <c r="A274" s="22" t="n">
        <v>45775</v>
      </c>
      <c r="B274" s="23" t="n">
        <v>108.577831</v>
      </c>
      <c r="C274" s="23" t="n">
        <v>544.603</v>
      </c>
      <c r="D274" s="23" t="n">
        <v>470.134381</v>
      </c>
      <c r="E274" s="23" t="n">
        <v>96.39</v>
      </c>
      <c r="G274" s="25" t="n">
        <f aca="false">(B274-B273)/B273</f>
        <v>-0.0205386980595607</v>
      </c>
      <c r="H274" s="25" t="n">
        <f aca="false">(C274-C273)/C273</f>
        <v>0.000382075515021207</v>
      </c>
      <c r="I274" s="25" t="n">
        <f aca="false">(D274-D273)/D273</f>
        <v>-0.00031741906711116</v>
      </c>
      <c r="J274" s="25" t="n">
        <f aca="false">(E274-E273)/E273</f>
        <v>-0.00263852242744059</v>
      </c>
      <c r="L274" s="24" t="n">
        <f aca="false">MAX($B$2:B274)</f>
        <v>149.207151</v>
      </c>
      <c r="M274" s="25" t="n">
        <f aca="false">(B274-L274)/L274</f>
        <v>-0.272301426089156</v>
      </c>
    </row>
    <row r="275" customFormat="false" ht="15" hidden="false" customHeight="false" outlineLevel="0" collapsed="false">
      <c r="A275" s="22" t="n">
        <v>45776</v>
      </c>
      <c r="B275" s="23" t="n">
        <v>108.867426</v>
      </c>
      <c r="C275" s="23" t="n">
        <v>548.034</v>
      </c>
      <c r="D275" s="23" t="n">
        <v>473.239352</v>
      </c>
      <c r="E275" s="23" t="n">
        <v>96.06</v>
      </c>
      <c r="G275" s="25" t="n">
        <f aca="false">(B275-B274)/B274</f>
        <v>0.00266716508639771</v>
      </c>
      <c r="H275" s="25" t="n">
        <f aca="false">(C275-C274)/C274</f>
        <v>0.00630000201982002</v>
      </c>
      <c r="I275" s="25" t="n">
        <f aca="false">(D275-D274)/D274</f>
        <v>0.00660443295679747</v>
      </c>
      <c r="J275" s="25" t="n">
        <f aca="false">(E275-E274)/E274</f>
        <v>-0.00342359165888576</v>
      </c>
      <c r="L275" s="24" t="n">
        <f aca="false">MAX($B$2:B275)</f>
        <v>149.207151</v>
      </c>
      <c r="M275" s="25" t="n">
        <f aca="false">(B275-L275)/L275</f>
        <v>-0.270360533859399</v>
      </c>
    </row>
    <row r="276" customFormat="false" ht="15" hidden="false" customHeight="false" outlineLevel="0" collapsed="false">
      <c r="A276" s="22" t="n">
        <v>45777</v>
      </c>
      <c r="B276" s="23" t="n">
        <v>108.767566</v>
      </c>
      <c r="C276" s="23" t="n">
        <v>548.251</v>
      </c>
      <c r="D276" s="23" t="n">
        <v>473.179641</v>
      </c>
      <c r="E276" s="23" t="n">
        <v>97.35</v>
      </c>
      <c r="G276" s="25" t="n">
        <f aca="false">(B276-B275)/B275</f>
        <v>-0.000917262432566308</v>
      </c>
      <c r="H276" s="25" t="n">
        <f aca="false">(C276-C275)/C275</f>
        <v>0.000395960834546734</v>
      </c>
      <c r="I276" s="25" t="n">
        <f aca="false">(D276-D275)/D275</f>
        <v>-0.000126175052323191</v>
      </c>
      <c r="J276" s="25" t="n">
        <f aca="false">(E276-E275)/E275</f>
        <v>0.0134291068082448</v>
      </c>
      <c r="L276" s="24" t="n">
        <f aca="false">MAX($B$2:B276)</f>
        <v>149.207151</v>
      </c>
      <c r="M276" s="25" t="n">
        <f aca="false">(B276-L276)/L276</f>
        <v>-0.271029804731008</v>
      </c>
    </row>
    <row r="277" customFormat="false" ht="15" hidden="false" customHeight="false" outlineLevel="0" collapsed="false">
      <c r="A277" s="22" t="n">
        <v>45778</v>
      </c>
      <c r="B277" s="23" t="n">
        <v>111.453801</v>
      </c>
      <c r="C277" s="23" t="n">
        <v>552.136</v>
      </c>
      <c r="D277" s="23" t="n">
        <v>479.359727</v>
      </c>
      <c r="E277" s="23" t="n">
        <v>96.65</v>
      </c>
      <c r="G277" s="25" t="n">
        <f aca="false">(B277-B276)/B276</f>
        <v>0.0246970222722461</v>
      </c>
      <c r="H277" s="25" t="n">
        <f aca="false">(C277-C276)/C276</f>
        <v>0.00708617038546212</v>
      </c>
      <c r="I277" s="25" t="n">
        <f aca="false">(D277-D276)/D276</f>
        <v>0.0130607605748617</v>
      </c>
      <c r="J277" s="25" t="n">
        <f aca="false">(E277-E276)/E276</f>
        <v>-0.0071905495634308</v>
      </c>
      <c r="L277" s="24" t="n">
        <f aca="false">MAX($B$2:B277)</f>
        <v>149.207151</v>
      </c>
      <c r="M277" s="25" t="n">
        <f aca="false">(B277-L277)/L277</f>
        <v>-0.253026411582646</v>
      </c>
    </row>
    <row r="278" customFormat="false" ht="15" hidden="false" customHeight="false" outlineLevel="0" collapsed="false">
      <c r="A278" s="22" t="n">
        <v>45779</v>
      </c>
      <c r="B278" s="23" t="n">
        <v>114.339756</v>
      </c>
      <c r="C278" s="23" t="n">
        <v>560.332</v>
      </c>
      <c r="D278" s="23" t="n">
        <v>486.475285</v>
      </c>
      <c r="E278" s="23" t="n">
        <v>98.8</v>
      </c>
      <c r="G278" s="25" t="n">
        <f aca="false">(B278-B277)/B277</f>
        <v>0.0258937333146673</v>
      </c>
      <c r="H278" s="25" t="n">
        <f aca="false">(C278-C277)/C277</f>
        <v>0.01484416882797</v>
      </c>
      <c r="I278" s="25" t="n">
        <f aca="false">(D278-D277)/D277</f>
        <v>0.0148438794483875</v>
      </c>
      <c r="J278" s="25" t="n">
        <f aca="false">(E278-E277)/E277</f>
        <v>0.0222452146921882</v>
      </c>
      <c r="L278" s="24" t="n">
        <f aca="false">MAX($B$2:B278)</f>
        <v>149.207151</v>
      </c>
      <c r="M278" s="25" t="n">
        <f aca="false">(B278-L278)/L278</f>
        <v>-0.233684476691067</v>
      </c>
    </row>
    <row r="279" customFormat="false" ht="15" hidden="false" customHeight="false" outlineLevel="0" collapsed="false">
      <c r="A279" s="22" t="n">
        <v>45782</v>
      </c>
      <c r="B279" s="23" t="n">
        <v>113.660708</v>
      </c>
      <c r="C279" s="23" t="n">
        <v>557.119</v>
      </c>
      <c r="D279" s="23" t="n">
        <v>483.589255</v>
      </c>
      <c r="E279" s="23" t="n">
        <v>100.59</v>
      </c>
      <c r="G279" s="25" t="n">
        <f aca="false">(B279-B278)/B278</f>
        <v>-0.00593886172015265</v>
      </c>
      <c r="H279" s="25" t="n">
        <f aca="false">(C279-C278)/C278</f>
        <v>-0.0057341004975621</v>
      </c>
      <c r="I279" s="25" t="n">
        <f aca="false">(D279-D278)/D278</f>
        <v>-0.00593253159818799</v>
      </c>
      <c r="J279" s="25" t="n">
        <f aca="false">(E279-E278)/E278</f>
        <v>0.0181174089068827</v>
      </c>
      <c r="L279" s="24" t="n">
        <f aca="false">MAX($B$2:B279)</f>
        <v>149.207151</v>
      </c>
      <c r="M279" s="25" t="n">
        <f aca="false">(B279-L279)/L279</f>
        <v>-0.238235518618005</v>
      </c>
    </row>
    <row r="280" customFormat="false" ht="15" hidden="false" customHeight="false" outlineLevel="0" collapsed="false">
      <c r="A280" s="22" t="n">
        <v>45783</v>
      </c>
      <c r="B280" s="23" t="n">
        <v>113.3811</v>
      </c>
      <c r="C280" s="23" t="n">
        <v>552.463</v>
      </c>
      <c r="D280" s="23" t="n">
        <v>479.091028</v>
      </c>
      <c r="E280" s="23" t="n">
        <v>98.62</v>
      </c>
      <c r="G280" s="25" t="n">
        <f aca="false">(B280-B279)/B279</f>
        <v>-0.0024600233882055</v>
      </c>
      <c r="H280" s="25" t="n">
        <f aca="false">(C280-C279)/C279</f>
        <v>-0.00835728093997882</v>
      </c>
      <c r="I280" s="25" t="n">
        <f aca="false">(D280-D279)/D279</f>
        <v>-0.00930175133854036</v>
      </c>
      <c r="J280" s="25" t="n">
        <f aca="false">(E280-E279)/E279</f>
        <v>-0.0195844517347649</v>
      </c>
      <c r="L280" s="24" t="n">
        <f aca="false">MAX($B$2:B280)</f>
        <v>149.207151</v>
      </c>
      <c r="M280" s="25" t="n">
        <f aca="false">(B280-L280)/L280</f>
        <v>-0.240109477058509</v>
      </c>
    </row>
    <row r="281" customFormat="false" ht="15" hidden="false" customHeight="false" outlineLevel="0" collapsed="false">
      <c r="A281" s="22" t="n">
        <v>45784</v>
      </c>
      <c r="B281" s="23" t="n">
        <v>116.896173</v>
      </c>
      <c r="C281" s="23" t="n">
        <v>554.786</v>
      </c>
      <c r="D281" s="23" t="n">
        <v>480.971923</v>
      </c>
      <c r="E281" s="23" t="n">
        <v>100.36</v>
      </c>
      <c r="G281" s="25" t="n">
        <f aca="false">(B281-B280)/B280</f>
        <v>0.031002283449358</v>
      </c>
      <c r="H281" s="25" t="n">
        <f aca="false">(C281-C280)/C280</f>
        <v>0.00420480647572775</v>
      </c>
      <c r="I281" s="25" t="n">
        <f aca="false">(D281-D280)/D280</f>
        <v>0.00392596581875461</v>
      </c>
      <c r="J281" s="25" t="n">
        <f aca="false">(E281-E280)/E280</f>
        <v>0.0176434800243358</v>
      </c>
      <c r="L281" s="24" t="n">
        <f aca="false">MAX($B$2:B281)</f>
        <v>149.207151</v>
      </c>
      <c r="M281" s="25" t="n">
        <f aca="false">(B281-L281)/L281</f>
        <v>-0.216551135675796</v>
      </c>
    </row>
    <row r="282" customFormat="false" ht="15" hidden="false" customHeight="false" outlineLevel="0" collapsed="false">
      <c r="A282" s="22" t="n">
        <v>45785</v>
      </c>
      <c r="B282" s="23" t="n">
        <v>117.20574</v>
      </c>
      <c r="C282" s="23" t="n">
        <v>558.652</v>
      </c>
      <c r="D282" s="23" t="n">
        <v>485.937886</v>
      </c>
      <c r="E282" s="23" t="n">
        <v>101.7</v>
      </c>
      <c r="G282" s="25" t="n">
        <f aca="false">(B282-B281)/B281</f>
        <v>0.00264822185410639</v>
      </c>
      <c r="H282" s="25" t="n">
        <f aca="false">(C282-C281)/C281</f>
        <v>0.00696845270068116</v>
      </c>
      <c r="I282" s="25" t="n">
        <f aca="false">(D282-D281)/D281</f>
        <v>0.0103248500848562</v>
      </c>
      <c r="J282" s="25" t="n">
        <f aca="false">(E282-E281)/E281</f>
        <v>0.0133519330410522</v>
      </c>
      <c r="L282" s="24" t="n">
        <f aca="false">MAX($B$2:B282)</f>
        <v>149.207151</v>
      </c>
      <c r="M282" s="25" t="n">
        <f aca="false">(B282-L282)/L282</f>
        <v>-0.214476389271718</v>
      </c>
    </row>
    <row r="283" customFormat="false" ht="15" hidden="false" customHeight="false" outlineLevel="0" collapsed="false">
      <c r="A283" s="22" t="n">
        <v>45786</v>
      </c>
      <c r="B283" s="23" t="n">
        <v>116.486747</v>
      </c>
      <c r="C283" s="23" t="n">
        <v>557.94</v>
      </c>
      <c r="D283" s="23" t="n">
        <v>485.619428</v>
      </c>
      <c r="E283" s="23" t="n">
        <v>102.84</v>
      </c>
      <c r="G283" s="25" t="n">
        <f aca="false">(B283-B282)/B282</f>
        <v>-0.00613445211813015</v>
      </c>
      <c r="H283" s="25" t="n">
        <f aca="false">(C283-C282)/C282</f>
        <v>-0.00127449646649433</v>
      </c>
      <c r="I283" s="25" t="n">
        <f aca="false">(D283-D282)/D282</f>
        <v>-0.000655347132164056</v>
      </c>
      <c r="J283" s="25" t="n">
        <f aca="false">(E283-E282)/E282</f>
        <v>0.0112094395280236</v>
      </c>
      <c r="L283" s="24" t="n">
        <f aca="false">MAX($B$2:B283)</f>
        <v>149.207151</v>
      </c>
      <c r="M283" s="25" t="n">
        <f aca="false">(B283-L283)/L283</f>
        <v>-0.219295146249391</v>
      </c>
    </row>
    <row r="284" customFormat="false" ht="15" hidden="false" customHeight="false" outlineLevel="0" collapsed="false">
      <c r="A284" s="22" t="n">
        <v>45789</v>
      </c>
      <c r="B284" s="23" t="n">
        <v>122.82786</v>
      </c>
      <c r="C284" s="23" t="n">
        <v>576.378</v>
      </c>
      <c r="D284" s="23" t="n">
        <v>505.403665</v>
      </c>
      <c r="E284" s="23" t="n">
        <v>108.12</v>
      </c>
      <c r="G284" s="25" t="n">
        <f aca="false">(B284-B283)/B283</f>
        <v>0.0544363471666009</v>
      </c>
      <c r="H284" s="25" t="n">
        <f aca="false">(C284-C283)/C283</f>
        <v>0.0330465641466824</v>
      </c>
      <c r="I284" s="25" t="n">
        <f aca="false">(D284-D283)/D283</f>
        <v>0.0407402090181614</v>
      </c>
      <c r="J284" s="25" t="n">
        <f aca="false">(E284-E283)/E283</f>
        <v>0.0513418903150525</v>
      </c>
      <c r="L284" s="24" t="n">
        <f aca="false">MAX($B$2:B284)</f>
        <v>149.207151</v>
      </c>
      <c r="M284" s="25" t="n">
        <f aca="false">(B284-L284)/L284</f>
        <v>-0.176796425795973</v>
      </c>
    </row>
    <row r="285" customFormat="false" ht="15" hidden="false" customHeight="false" outlineLevel="0" collapsed="false">
      <c r="A285" s="22" t="n">
        <v>45790</v>
      </c>
      <c r="B285" s="23" t="n">
        <v>129.748162</v>
      </c>
      <c r="C285" s="23" t="n">
        <v>580.185</v>
      </c>
      <c r="D285" s="23" t="n">
        <v>513.106381</v>
      </c>
      <c r="E285" s="23" t="n">
        <v>112.46</v>
      </c>
      <c r="G285" s="25" t="n">
        <f aca="false">(B285-B284)/B284</f>
        <v>0.0563414684583775</v>
      </c>
      <c r="H285" s="25" t="n">
        <f aca="false">(C285-C284)/C284</f>
        <v>0.00660504044220963</v>
      </c>
      <c r="I285" s="25" t="n">
        <f aca="false">(D285-D284)/D284</f>
        <v>0.0152407205040748</v>
      </c>
      <c r="J285" s="25" t="n">
        <f aca="false">(E285-E284)/E284</f>
        <v>0.040140584535701</v>
      </c>
      <c r="L285" s="24" t="n">
        <f aca="false">MAX($B$2:B285)</f>
        <v>149.207151</v>
      </c>
      <c r="M285" s="25" t="n">
        <f aca="false">(B285-L285)/L285</f>
        <v>-0.130415927585133</v>
      </c>
    </row>
    <row r="286" customFormat="false" ht="15" hidden="false" customHeight="false" outlineLevel="0" collapsed="false">
      <c r="A286" s="22" t="n">
        <v>45791</v>
      </c>
      <c r="B286" s="23" t="n">
        <v>135.15059</v>
      </c>
      <c r="C286" s="23" t="n">
        <v>580.926</v>
      </c>
      <c r="D286" s="23" t="n">
        <v>516.181496</v>
      </c>
      <c r="E286" s="23" t="n">
        <v>117.72</v>
      </c>
      <c r="G286" s="25" t="n">
        <f aca="false">(B286-B285)/B285</f>
        <v>0.0416377998479854</v>
      </c>
      <c r="H286" s="25" t="n">
        <f aca="false">(C286-C285)/C285</f>
        <v>0.00127717883089032</v>
      </c>
      <c r="I286" s="25" t="n">
        <f aca="false">(D286-D285)/D285</f>
        <v>0.00599313342002656</v>
      </c>
      <c r="J286" s="25" t="n">
        <f aca="false">(E286-E285)/E285</f>
        <v>0.0467721856660146</v>
      </c>
      <c r="L286" s="24" t="n">
        <f aca="false">MAX($B$2:B286)</f>
        <v>149.207151</v>
      </c>
      <c r="M286" s="25" t="n">
        <f aca="false">(B286-L286)/L286</f>
        <v>-0.0942083600269267</v>
      </c>
    </row>
    <row r="287" customFormat="false" ht="15" hidden="false" customHeight="false" outlineLevel="0" collapsed="false">
      <c r="A287" s="22" t="n">
        <v>45792</v>
      </c>
      <c r="B287" s="23" t="n">
        <v>134.641304</v>
      </c>
      <c r="C287" s="23" t="n">
        <v>583.764</v>
      </c>
      <c r="D287" s="23" t="n">
        <v>516.748751</v>
      </c>
      <c r="E287" s="23" t="n">
        <v>114.99</v>
      </c>
      <c r="G287" s="25" t="n">
        <f aca="false">(B287-B286)/B286</f>
        <v>-0.00376828543626782</v>
      </c>
      <c r="H287" s="25" t="n">
        <f aca="false">(C287-C286)/C286</f>
        <v>0.00488530380805811</v>
      </c>
      <c r="I287" s="25" t="n">
        <f aca="false">(D287-D286)/D286</f>
        <v>0.00109894485640363</v>
      </c>
      <c r="J287" s="25" t="n">
        <f aca="false">(E287-E286)/E286</f>
        <v>-0.0231906218144751</v>
      </c>
      <c r="L287" s="24" t="n">
        <f aca="false">MAX($B$2:B287)</f>
        <v>149.207151</v>
      </c>
      <c r="M287" s="25" t="n">
        <f aca="false">(B287-L287)/L287</f>
        <v>-0.0976216414721304</v>
      </c>
    </row>
    <row r="288" customFormat="false" ht="15" hidden="false" customHeight="false" outlineLevel="0" collapsed="false">
      <c r="A288" s="22" t="n">
        <v>45793</v>
      </c>
      <c r="B288" s="23" t="n">
        <v>135.210507</v>
      </c>
      <c r="C288" s="23" t="n">
        <v>587.461</v>
      </c>
      <c r="D288" s="23" t="n">
        <v>518.997864</v>
      </c>
      <c r="E288" s="23" t="n">
        <v>117.17</v>
      </c>
      <c r="G288" s="25" t="n">
        <f aca="false">(B288-B287)/B287</f>
        <v>0.00422755115324801</v>
      </c>
      <c r="H288" s="25" t="n">
        <f aca="false">(C288-C287)/C287</f>
        <v>0.0063330386937187</v>
      </c>
      <c r="I288" s="25" t="n">
        <f aca="false">(D288-D287)/D287</f>
        <v>0.00435243045222199</v>
      </c>
      <c r="J288" s="25" t="n">
        <f aca="false">(E288-E287)/E287</f>
        <v>0.0189581702756762</v>
      </c>
      <c r="L288" s="24" t="n">
        <f aca="false">MAX($B$2:B288)</f>
        <v>149.207151</v>
      </c>
      <c r="M288" s="25" t="n">
        <f aca="false">(B288-L288)/L288</f>
        <v>-0.0938067908018698</v>
      </c>
    </row>
    <row r="289" customFormat="false" ht="15" hidden="false" customHeight="false" outlineLevel="0" collapsed="false">
      <c r="A289" s="22" t="n">
        <v>45796</v>
      </c>
      <c r="B289" s="23" t="n">
        <v>135.380269</v>
      </c>
      <c r="C289" s="23" t="n">
        <v>588.104</v>
      </c>
      <c r="D289" s="23" t="n">
        <v>519.495456</v>
      </c>
      <c r="E289" s="23" t="n">
        <v>114.74</v>
      </c>
      <c r="G289" s="25" t="n">
        <f aca="false">(B289-B288)/B288</f>
        <v>0.00125553852112981</v>
      </c>
      <c r="H289" s="25" t="n">
        <f aca="false">(C289-C288)/C288</f>
        <v>0.00109454074398135</v>
      </c>
      <c r="I289" s="25" t="n">
        <f aca="false">(D289-D288)/D288</f>
        <v>0.000958755390946928</v>
      </c>
      <c r="J289" s="25" t="n">
        <f aca="false">(E289-E288)/E288</f>
        <v>-0.0207390970384911</v>
      </c>
      <c r="L289" s="24" t="n">
        <f aca="false">MAX($B$2:B289)</f>
        <v>149.207151</v>
      </c>
      <c r="M289" s="25" t="n">
        <f aca="false">(B289-L289)/L289</f>
        <v>-0.0926690303201353</v>
      </c>
    </row>
    <row r="290" customFormat="false" ht="15" hidden="false" customHeight="false" outlineLevel="0" collapsed="false">
      <c r="A290" s="22" t="n">
        <v>45797</v>
      </c>
      <c r="B290" s="23" t="n">
        <v>134.191934</v>
      </c>
      <c r="C290" s="23" t="n">
        <v>586.127</v>
      </c>
      <c r="D290" s="23" t="n">
        <v>517.763837</v>
      </c>
      <c r="E290" s="23" t="n">
        <v>113.51</v>
      </c>
      <c r="G290" s="25" t="n">
        <f aca="false">(B290-B289)/B289</f>
        <v>-0.00877775623270475</v>
      </c>
      <c r="H290" s="25" t="n">
        <f aca="false">(C290-C289)/C289</f>
        <v>-0.00336165032035165</v>
      </c>
      <c r="I290" s="25" t="n">
        <f aca="false">(D290-D289)/D289</f>
        <v>-0.00333327073413328</v>
      </c>
      <c r="J290" s="25" t="n">
        <f aca="false">(E290-E289)/E289</f>
        <v>-0.0107198884434372</v>
      </c>
      <c r="L290" s="24" t="n">
        <f aca="false">MAX($B$2:B290)</f>
        <v>149.207151</v>
      </c>
      <c r="M290" s="25" t="n">
        <f aca="false">(B290-L290)/L290</f>
        <v>-0.100633360394369</v>
      </c>
    </row>
    <row r="291" customFormat="false" ht="15" hidden="false" customHeight="false" outlineLevel="0" collapsed="false">
      <c r="A291" s="22" t="n">
        <v>45798</v>
      </c>
      <c r="B291" s="23" t="n">
        <v>131.615545</v>
      </c>
      <c r="C291" s="23" t="n">
        <v>576.25</v>
      </c>
      <c r="D291" s="23" t="n">
        <v>510.568665</v>
      </c>
      <c r="E291" s="23" t="n">
        <v>112.06</v>
      </c>
      <c r="G291" s="25" t="n">
        <f aca="false">(B291-B290)/B290</f>
        <v>-0.019199283617151</v>
      </c>
      <c r="H291" s="25" t="n">
        <f aca="false">(C291-C290)/C290</f>
        <v>-0.0168512967326193</v>
      </c>
      <c r="I291" s="25" t="n">
        <f aca="false">(D291-D290)/D290</f>
        <v>-0.0138966290919232</v>
      </c>
      <c r="J291" s="25" t="n">
        <f aca="false">(E291-E290)/E290</f>
        <v>-0.0127742049158665</v>
      </c>
      <c r="L291" s="24" t="n">
        <f aca="false">MAX($B$2:B291)</f>
        <v>149.207151</v>
      </c>
      <c r="M291" s="25" t="n">
        <f aca="false">(B291-L291)/L291</f>
        <v>-0.117900555583961</v>
      </c>
    </row>
    <row r="292" customFormat="false" ht="15" hidden="false" customHeight="false" outlineLevel="0" collapsed="false">
      <c r="A292" s="22" t="n">
        <v>45799</v>
      </c>
      <c r="B292" s="23" t="n">
        <v>132.644103</v>
      </c>
      <c r="C292" s="23" t="n">
        <v>576.477</v>
      </c>
      <c r="D292" s="23" t="n">
        <v>511.52404</v>
      </c>
      <c r="E292" s="23" t="n">
        <v>110.71</v>
      </c>
      <c r="G292" s="25" t="n">
        <f aca="false">(B292-B291)/B291</f>
        <v>0.00781486715721919</v>
      </c>
      <c r="H292" s="25" t="n">
        <f aca="false">(C292-C291)/C291</f>
        <v>0.000393926247288461</v>
      </c>
      <c r="I292" s="25" t="n">
        <f aca="false">(D292-D291)/D291</f>
        <v>0.0018711978730618</v>
      </c>
      <c r="J292" s="25" t="n">
        <f aca="false">(E292-E291)/E291</f>
        <v>-0.0120471176155632</v>
      </c>
      <c r="L292" s="24" t="n">
        <f aca="false">MAX($B$2:B292)</f>
        <v>149.207151</v>
      </c>
      <c r="M292" s="25" t="n">
        <f aca="false">(B292-L292)/L292</f>
        <v>-0.111007065606393</v>
      </c>
    </row>
    <row r="293" customFormat="false" ht="15" hidden="false" customHeight="false" outlineLevel="0" collapsed="false">
      <c r="A293" s="22" t="n">
        <v>45800</v>
      </c>
      <c r="B293" s="23" t="n">
        <v>131.106258</v>
      </c>
      <c r="C293" s="23" t="n">
        <v>572.542</v>
      </c>
      <c r="D293" s="23" t="n">
        <v>506.786969</v>
      </c>
      <c r="E293" s="23" t="n">
        <v>110.31</v>
      </c>
      <c r="G293" s="25" t="n">
        <f aca="false">(B293-B292)/B292</f>
        <v>-0.0115937683260597</v>
      </c>
      <c r="H293" s="25" t="n">
        <f aca="false">(C293-C292)/C292</f>
        <v>-0.00682594448694388</v>
      </c>
      <c r="I293" s="25" t="n">
        <f aca="false">(D293-D292)/D292</f>
        <v>-0.00926070063100068</v>
      </c>
      <c r="J293" s="25" t="n">
        <f aca="false">(E293-E292)/E292</f>
        <v>-0.00361304308553872</v>
      </c>
      <c r="L293" s="24" t="n">
        <f aca="false">MAX($B$2:B293)</f>
        <v>149.207151</v>
      </c>
      <c r="M293" s="25" t="n">
        <f aca="false">(B293-L293)/L293</f>
        <v>-0.121313843731257</v>
      </c>
    </row>
    <row r="294" customFormat="false" ht="15" hidden="false" customHeight="false" outlineLevel="0" collapsed="false">
      <c r="A294" s="22" t="n">
        <v>45804</v>
      </c>
      <c r="B294" s="23" t="n">
        <v>135.310367</v>
      </c>
      <c r="C294" s="23" t="n">
        <v>584.446</v>
      </c>
      <c r="D294" s="23" t="n">
        <v>518.709261</v>
      </c>
      <c r="E294" s="23" t="n">
        <v>114.56</v>
      </c>
      <c r="G294" s="25" t="n">
        <f aca="false">(B294-B293)/B293</f>
        <v>0.0320664250824703</v>
      </c>
      <c r="H294" s="25" t="n">
        <f aca="false">(C294-C293)/C293</f>
        <v>0.0207914877860489</v>
      </c>
      <c r="I294" s="25" t="n">
        <f aca="false">(D294-D293)/D293</f>
        <v>0.0235252536653127</v>
      </c>
      <c r="J294" s="25" t="n">
        <f aca="false">(E294-E293)/E293</f>
        <v>0.0385277853322455</v>
      </c>
      <c r="L294" s="24" t="n">
        <f aca="false">MAX($B$2:B294)</f>
        <v>149.207151</v>
      </c>
      <c r="M294" s="25" t="n">
        <f aca="false">(B294-L294)/L294</f>
        <v>-0.0931375199302612</v>
      </c>
    </row>
    <row r="295" customFormat="false" ht="15" hidden="false" customHeight="false" outlineLevel="0" collapsed="false">
      <c r="A295" s="22" t="n">
        <v>45805</v>
      </c>
      <c r="B295" s="23" t="n">
        <v>134.621332</v>
      </c>
      <c r="C295" s="23" t="n">
        <v>581.065</v>
      </c>
      <c r="D295" s="23" t="n">
        <v>516.410389</v>
      </c>
      <c r="E295" s="23" t="n">
        <v>112.86</v>
      </c>
      <c r="G295" s="25" t="n">
        <f aca="false">(B295-B294)/B294</f>
        <v>-0.00509225579145771</v>
      </c>
      <c r="H295" s="25" t="n">
        <f aca="false">(C295-C294)/C294</f>
        <v>-0.00578496559134629</v>
      </c>
      <c r="I295" s="25" t="n">
        <f aca="false">(D295-D294)/D294</f>
        <v>-0.00443190853305386</v>
      </c>
      <c r="J295" s="25" t="n">
        <f aca="false">(E295-E294)/E294</f>
        <v>-0.0148393854748604</v>
      </c>
      <c r="L295" s="24" t="n">
        <f aca="false">MAX($B$2:B295)</f>
        <v>149.207151</v>
      </c>
      <c r="M295" s="25" t="n">
        <f aca="false">(B295-L295)/L295</f>
        <v>-0.0977554956464521</v>
      </c>
    </row>
    <row r="296" customFormat="false" ht="15" hidden="false" customHeight="false" outlineLevel="0" collapsed="false">
      <c r="A296" s="22" t="n">
        <v>45806</v>
      </c>
      <c r="B296" s="23" t="n">
        <v>138.995202</v>
      </c>
      <c r="C296" s="23" t="n">
        <v>583.358</v>
      </c>
      <c r="D296" s="23" t="n">
        <v>517.425475</v>
      </c>
      <c r="E296" s="23" t="n">
        <v>113.03</v>
      </c>
      <c r="G296" s="25" t="n">
        <f aca="false">(B296-B295)/B295</f>
        <v>0.032490170279997</v>
      </c>
      <c r="H296" s="25" t="n">
        <f aca="false">(C296-C295)/C295</f>
        <v>0.0039462022321081</v>
      </c>
      <c r="I296" s="25" t="n">
        <f aca="false">(D296-D295)/D295</f>
        <v>0.00196565758865861</v>
      </c>
      <c r="J296" s="25" t="n">
        <f aca="false">(E296-E295)/E295</f>
        <v>0.00150629097997521</v>
      </c>
      <c r="L296" s="24" t="n">
        <f aca="false">MAX($B$2:B296)</f>
        <v>149.207151</v>
      </c>
      <c r="M296" s="25" t="n">
        <f aca="false">(B296-L296)/L296</f>
        <v>-0.0684414180658138</v>
      </c>
    </row>
    <row r="297" customFormat="false" ht="15" hidden="false" customHeight="false" outlineLevel="0" collapsed="false">
      <c r="A297" s="22" t="n">
        <v>45807</v>
      </c>
      <c r="B297" s="23" t="n">
        <v>134.940884</v>
      </c>
      <c r="C297" s="23" t="n">
        <v>582.706</v>
      </c>
      <c r="D297" s="23" t="n">
        <v>516.609425</v>
      </c>
      <c r="E297" s="23" t="n">
        <v>110.73</v>
      </c>
      <c r="G297" s="25" t="n">
        <f aca="false">(B297-B296)/B296</f>
        <v>-0.0291687622425988</v>
      </c>
      <c r="H297" s="25" t="n">
        <f aca="false">(C297-C296)/C296</f>
        <v>-0.00111766702436571</v>
      </c>
      <c r="I297" s="25" t="n">
        <f aca="false">(D297-D296)/D296</f>
        <v>-0.00157713533528673</v>
      </c>
      <c r="J297" s="25" t="n">
        <f aca="false">(E297-E296)/E296</f>
        <v>-0.0203485800230027</v>
      </c>
      <c r="L297" s="24" t="n">
        <f aca="false">MAX($B$2:B297)</f>
        <v>149.207151</v>
      </c>
      <c r="M297" s="25" t="n">
        <f aca="false">(B297-L297)/L297</f>
        <v>-0.0956138288573046</v>
      </c>
    </row>
    <row r="298" customFormat="false" ht="15" hidden="false" customHeight="false" outlineLevel="0" collapsed="false">
      <c r="A298" s="22" t="n">
        <v>45810</v>
      </c>
      <c r="B298" s="23" t="n">
        <v>137.187735</v>
      </c>
      <c r="C298" s="23" t="n">
        <v>585.988</v>
      </c>
      <c r="D298" s="23" t="n">
        <v>520.689675</v>
      </c>
      <c r="E298" s="23" t="n">
        <v>114.63</v>
      </c>
      <c r="G298" s="25" t="n">
        <f aca="false">(B298-B297)/B297</f>
        <v>0.0166506319908205</v>
      </c>
      <c r="H298" s="25" t="n">
        <f aca="false">(C298-C297)/C297</f>
        <v>0.00563234289676104</v>
      </c>
      <c r="I298" s="25" t="n">
        <f aca="false">(D298-D297)/D297</f>
        <v>0.00789813310123016</v>
      </c>
      <c r="J298" s="25" t="n">
        <f aca="false">(E298-E297)/E297</f>
        <v>0.0352208073692765</v>
      </c>
      <c r="L298" s="24" t="n">
        <f aca="false">MAX($B$2:B298)</f>
        <v>149.207151</v>
      </c>
      <c r="M298" s="25" t="n">
        <f aca="false">(B298-L298)/L298</f>
        <v>-0.0805552275440204</v>
      </c>
    </row>
    <row r="299" customFormat="false" ht="15" hidden="false" customHeight="false" outlineLevel="0" collapsed="false">
      <c r="A299" s="22" t="n">
        <v>45811</v>
      </c>
      <c r="B299" s="23" t="n">
        <v>141.022361</v>
      </c>
      <c r="C299" s="23" t="n">
        <v>589.33</v>
      </c>
      <c r="D299" s="23" t="n">
        <v>524.759974</v>
      </c>
      <c r="E299" s="23" t="n">
        <v>117.31</v>
      </c>
      <c r="G299" s="25" t="n">
        <f aca="false">(B299-B298)/B298</f>
        <v>0.0279516678367785</v>
      </c>
      <c r="H299" s="25" t="n">
        <f aca="false">(C299-C298)/C298</f>
        <v>0.00570318846119713</v>
      </c>
      <c r="I299" s="25" t="n">
        <f aca="false">(D299-D298)/D298</f>
        <v>0.00781713023212932</v>
      </c>
      <c r="J299" s="25" t="n">
        <f aca="false">(E299-E298)/E298</f>
        <v>0.0233795690482422</v>
      </c>
      <c r="L299" s="24" t="n">
        <f aca="false">MAX($B$2:B299)</f>
        <v>149.207151</v>
      </c>
      <c r="M299" s="25" t="n">
        <f aca="false">(B299-L299)/L299</f>
        <v>-0.0548552126700685</v>
      </c>
    </row>
    <row r="300" customFormat="false" ht="15" hidden="false" customHeight="false" outlineLevel="0" collapsed="false">
      <c r="A300" s="22" t="n">
        <v>45812</v>
      </c>
      <c r="B300" s="23" t="n">
        <v>141.721382</v>
      </c>
      <c r="C300" s="23" t="n">
        <v>589.172</v>
      </c>
      <c r="D300" s="23" t="n">
        <v>526.222893</v>
      </c>
      <c r="E300" s="23" t="n">
        <v>118.58</v>
      </c>
      <c r="G300" s="25" t="n">
        <f aca="false">(B300-B299)/B299</f>
        <v>0.00495680965091782</v>
      </c>
      <c r="H300" s="25" t="n">
        <f aca="false">(C300-C299)/C299</f>
        <v>-0.000268101063920071</v>
      </c>
      <c r="I300" s="25" t="n">
        <f aca="false">(D300-D299)/D299</f>
        <v>0.00278778693589908</v>
      </c>
      <c r="J300" s="25" t="n">
        <f aca="false">(E300-E299)/E299</f>
        <v>0.0108260165373796</v>
      </c>
      <c r="L300" s="24" t="n">
        <f aca="false">MAX($B$2:B300)</f>
        <v>149.207151</v>
      </c>
      <c r="M300" s="25" t="n">
        <f aca="false">(B300-L300)/L300</f>
        <v>-0.0501703098667168</v>
      </c>
    </row>
    <row r="301" customFormat="false" ht="15" hidden="false" customHeight="false" outlineLevel="0" collapsed="false">
      <c r="A301" s="22" t="n">
        <v>45813</v>
      </c>
      <c r="B301" s="23" t="n">
        <v>139.794083</v>
      </c>
      <c r="C301" s="23" t="n">
        <v>586.324</v>
      </c>
      <c r="D301" s="23" t="n">
        <v>522.262064</v>
      </c>
      <c r="E301" s="23" t="n">
        <v>115.69</v>
      </c>
      <c r="G301" s="25" t="n">
        <f aca="false">(B301-B300)/B300</f>
        <v>-0.0135992111620814</v>
      </c>
      <c r="H301" s="25" t="n">
        <f aca="false">(C301-C300)/C300</f>
        <v>-0.0048339024936692</v>
      </c>
      <c r="I301" s="25" t="n">
        <f aca="false">(D301-D300)/D300</f>
        <v>-0.00752690362332828</v>
      </c>
      <c r="J301" s="25" t="n">
        <f aca="false">(E301-E300)/E300</f>
        <v>-0.02437173216394</v>
      </c>
      <c r="L301" s="24" t="n">
        <f aca="false">MAX($B$2:B301)</f>
        <v>149.207151</v>
      </c>
      <c r="M301" s="25" t="n">
        <f aca="false">(B301-L301)/L301</f>
        <v>-0.0630872443908537</v>
      </c>
    </row>
    <row r="302" customFormat="false" ht="15" hidden="false" customHeight="false" outlineLevel="0" collapsed="false">
      <c r="A302" s="22" t="n">
        <v>45814</v>
      </c>
      <c r="B302" s="23" t="n">
        <v>141.521662</v>
      </c>
      <c r="C302" s="23" t="n">
        <v>592.345</v>
      </c>
      <c r="D302" s="23" t="n">
        <v>527.367353</v>
      </c>
      <c r="E302" s="23" t="n">
        <v>116.19</v>
      </c>
      <c r="G302" s="25" t="n">
        <f aca="false">(B302-B301)/B301</f>
        <v>0.0123580266269209</v>
      </c>
      <c r="H302" s="25" t="n">
        <f aca="false">(C302-C301)/C301</f>
        <v>0.0102690662500598</v>
      </c>
      <c r="I302" s="25" t="n">
        <f aca="false">(D302-D301)/D301</f>
        <v>0.00977533953145785</v>
      </c>
      <c r="J302" s="25" t="n">
        <f aca="false">(E302-E301)/E301</f>
        <v>0.00432189471864465</v>
      </c>
      <c r="L302" s="24" t="n">
        <f aca="false">MAX($B$2:B302)</f>
        <v>149.207151</v>
      </c>
      <c r="M302" s="25" t="n">
        <f aca="false">(B302-L302)/L302</f>
        <v>-0.051508851609934</v>
      </c>
    </row>
    <row r="303" customFormat="false" ht="15" hidden="false" customHeight="false" outlineLevel="0" collapsed="false">
      <c r="A303" s="22" t="n">
        <v>45817</v>
      </c>
      <c r="B303" s="23" t="n">
        <v>142.430388</v>
      </c>
      <c r="C303" s="23" t="n">
        <v>592.879</v>
      </c>
      <c r="D303" s="23" t="n">
        <v>528.143596</v>
      </c>
      <c r="E303" s="23" t="n">
        <v>121.73</v>
      </c>
      <c r="G303" s="25" t="n">
        <f aca="false">(B303-B302)/B302</f>
        <v>0.00642110887589775</v>
      </c>
      <c r="H303" s="25" t="n">
        <f aca="false">(C303-C302)/C302</f>
        <v>0.000901501658661746</v>
      </c>
      <c r="I303" s="25" t="n">
        <f aca="false">(D303-D302)/D302</f>
        <v>0.00147192084527846</v>
      </c>
      <c r="J303" s="25" t="n">
        <f aca="false">(E303-E302)/E302</f>
        <v>0.0476805232808332</v>
      </c>
      <c r="L303" s="24" t="n">
        <f aca="false">MAX($B$2:B303)</f>
        <v>149.207151</v>
      </c>
      <c r="M303" s="25" t="n">
        <f aca="false">(B303-L303)/L303</f>
        <v>-0.0454184866782961</v>
      </c>
    </row>
    <row r="304" customFormat="false" ht="15" hidden="false" customHeight="false" outlineLevel="0" collapsed="false">
      <c r="A304" s="22" t="n">
        <v>45818</v>
      </c>
      <c r="B304" s="23" t="n">
        <v>143.758527</v>
      </c>
      <c r="C304" s="23" t="n">
        <v>596.241</v>
      </c>
      <c r="D304" s="23" t="n">
        <v>531.636688</v>
      </c>
      <c r="E304" s="23" t="n">
        <v>123.24</v>
      </c>
      <c r="G304" s="25" t="n">
        <f aca="false">(B304-B303)/B303</f>
        <v>0.00932482891221214</v>
      </c>
      <c r="H304" s="25" t="n">
        <f aca="false">(C304-C303)/C303</f>
        <v>0.00567063431155424</v>
      </c>
      <c r="I304" s="25" t="n">
        <f aca="false">(D304-D303)/D303</f>
        <v>0.00661390581360007</v>
      </c>
      <c r="J304" s="25" t="n">
        <f aca="false">(E304-E303)/E303</f>
        <v>0.0124045017662038</v>
      </c>
      <c r="L304" s="24" t="n">
        <f aca="false">MAX($B$2:B304)</f>
        <v>149.207151</v>
      </c>
      <c r="M304" s="25" t="n">
        <f aca="false">(B304-L304)/L304</f>
        <v>-0.0365171773838107</v>
      </c>
    </row>
    <row r="305" customFormat="false" ht="15" hidden="false" customHeight="false" outlineLevel="0" collapsed="false">
      <c r="A305" s="22" t="n">
        <v>45819</v>
      </c>
      <c r="B305" s="23" t="n">
        <v>142.640016</v>
      </c>
      <c r="C305" s="23" t="n">
        <v>594.54</v>
      </c>
      <c r="D305" s="23" t="n">
        <v>529.845359</v>
      </c>
      <c r="E305" s="23" t="n">
        <v>121.14</v>
      </c>
      <c r="G305" s="25" t="n">
        <f aca="false">(B305-B304)/B304</f>
        <v>-0.00778048456214346</v>
      </c>
      <c r="H305" s="25" t="n">
        <f aca="false">(C305-C304)/C304</f>
        <v>-0.00285287325091703</v>
      </c>
      <c r="I305" s="25" t="n">
        <f aca="false">(D305-D304)/D304</f>
        <v>-0.00336946083751093</v>
      </c>
      <c r="J305" s="25" t="n">
        <f aca="false">(E305-E304)/E304</f>
        <v>-0.0170399221032132</v>
      </c>
      <c r="L305" s="24" t="n">
        <f aca="false">MAX($B$2:B305)</f>
        <v>149.207151</v>
      </c>
      <c r="M305" s="25" t="n">
        <f aca="false">(B305-L305)/L305</f>
        <v>-0.0440135406110663</v>
      </c>
    </row>
    <row r="306" customFormat="false" ht="15" hidden="false" customHeight="false" outlineLevel="0" collapsed="false">
      <c r="A306" s="22" t="n">
        <v>45820</v>
      </c>
      <c r="B306" s="23" t="n">
        <v>144.80713</v>
      </c>
      <c r="C306" s="23" t="n">
        <v>596.903</v>
      </c>
      <c r="D306" s="23" t="n">
        <v>531.089337</v>
      </c>
      <c r="E306" s="23" t="n">
        <v>118.5</v>
      </c>
      <c r="G306" s="25" t="n">
        <f aca="false">(B306-B305)/B305</f>
        <v>0.0151928894904218</v>
      </c>
      <c r="H306" s="25" t="n">
        <f aca="false">(C306-C305)/C305</f>
        <v>0.00397450129511901</v>
      </c>
      <c r="I306" s="25" t="n">
        <f aca="false">(D306-D305)/D305</f>
        <v>0.00234781333623037</v>
      </c>
      <c r="J306" s="25" t="n">
        <f aca="false">(E306-E305)/E305</f>
        <v>-0.0217929668152551</v>
      </c>
      <c r="L306" s="24" t="n">
        <f aca="false">MAX($B$2:B306)</f>
        <v>149.207151</v>
      </c>
      <c r="M306" s="25" t="n">
        <f aca="false">(B306-L306)/L306</f>
        <v>-0.0294893439792307</v>
      </c>
    </row>
    <row r="307" customFormat="false" ht="15" hidden="false" customHeight="false" outlineLevel="0" collapsed="false">
      <c r="A307" s="22" t="n">
        <v>45821</v>
      </c>
      <c r="B307" s="23" t="n">
        <v>141.78116</v>
      </c>
      <c r="C307" s="23" t="n">
        <v>590.229</v>
      </c>
      <c r="D307" s="23" t="n">
        <v>524.421611</v>
      </c>
      <c r="E307" s="23" t="n">
        <v>116.16</v>
      </c>
      <c r="G307" s="25" t="n">
        <f aca="false">(B307-B306)/B306</f>
        <v>-0.0208965539196861</v>
      </c>
      <c r="H307" s="25" t="n">
        <f aca="false">(C307-C306)/C306</f>
        <v>-0.0111810461666301</v>
      </c>
      <c r="I307" s="25" t="n">
        <f aca="false">(D307-D306)/D306</f>
        <v>-0.0125548105289864</v>
      </c>
      <c r="J307" s="25" t="n">
        <f aca="false">(E307-E306)/E306</f>
        <v>-0.019746835443038</v>
      </c>
      <c r="L307" s="24" t="n">
        <f aca="false">MAX($B$2:B307)</f>
        <v>149.207151</v>
      </c>
      <c r="M307" s="25" t="n">
        <f aca="false">(B307-L307)/L307</f>
        <v>-0.0497696722323986</v>
      </c>
    </row>
    <row r="308" customFormat="false" ht="15" hidden="false" customHeight="false" outlineLevel="0" collapsed="false">
      <c r="A308" s="22" t="n">
        <v>45824</v>
      </c>
      <c r="B308" s="23" t="n">
        <v>144.497542</v>
      </c>
      <c r="C308" s="23" t="n">
        <v>595.845</v>
      </c>
      <c r="D308" s="23" t="n">
        <v>531.716302</v>
      </c>
      <c r="E308" s="23" t="n">
        <v>126.39</v>
      </c>
      <c r="G308" s="25" t="n">
        <f aca="false">(B308-B307)/B307</f>
        <v>0.0191589771165648</v>
      </c>
      <c r="H308" s="25" t="n">
        <f aca="false">(C308-C307)/C307</f>
        <v>0.0095149509766548</v>
      </c>
      <c r="I308" s="25" t="n">
        <f aca="false">(D308-D307)/D307</f>
        <v>0.0139099740494868</v>
      </c>
      <c r="J308" s="25" t="n">
        <f aca="false">(E308-E307)/E307</f>
        <v>0.0880681818181819</v>
      </c>
      <c r="L308" s="24" t="n">
        <f aca="false">MAX($B$2:B308)</f>
        <v>149.207151</v>
      </c>
      <c r="M308" s="25" t="n">
        <f aca="false">(B308-L308)/L308</f>
        <v>-0.0315642311272333</v>
      </c>
    </row>
    <row r="309" customFormat="false" ht="15" hidden="false" customHeight="false" outlineLevel="0" collapsed="false">
      <c r="A309" s="22" t="n">
        <v>45825</v>
      </c>
      <c r="B309" s="23" t="n">
        <v>143.928301</v>
      </c>
      <c r="C309" s="23" t="n">
        <v>590.753</v>
      </c>
      <c r="D309" s="23" t="n">
        <v>526.531399</v>
      </c>
      <c r="E309" s="23" t="n">
        <v>127.1</v>
      </c>
      <c r="G309" s="25" t="n">
        <f aca="false">(B309-B308)/B308</f>
        <v>-0.00393945109460758</v>
      </c>
      <c r="H309" s="25" t="n">
        <f aca="false">(C309-C308)/C308</f>
        <v>-0.00854584665475079</v>
      </c>
      <c r="I309" s="25" t="n">
        <f aca="false">(D309-D308)/D308</f>
        <v>-0.00975125829412707</v>
      </c>
      <c r="J309" s="25" t="n">
        <f aca="false">(E309-E308)/E308</f>
        <v>0.00561753303267659</v>
      </c>
      <c r="L309" s="24" t="n">
        <f aca="false">MAX($B$2:B309)</f>
        <v>149.207151</v>
      </c>
      <c r="M309" s="25" t="n">
        <f aca="false">(B309-L309)/L309</f>
        <v>-0.0353793364769763</v>
      </c>
    </row>
    <row r="310" customFormat="false" ht="15" hidden="false" customHeight="false" outlineLevel="0" collapsed="false">
      <c r="A310" s="22" t="n">
        <v>45826</v>
      </c>
      <c r="B310" s="23" t="n">
        <v>145.286492</v>
      </c>
      <c r="C310" s="23" t="n">
        <v>590.664</v>
      </c>
      <c r="D310" s="23" t="n">
        <v>526.441833</v>
      </c>
      <c r="E310" s="23" t="n">
        <v>126.79</v>
      </c>
      <c r="G310" s="25" t="n">
        <f aca="false">(B310-B309)/B309</f>
        <v>0.00943658050962475</v>
      </c>
      <c r="H310" s="25" t="n">
        <f aca="false">(C310-C309)/C309</f>
        <v>-0.00015065518076092</v>
      </c>
      <c r="I310" s="25" t="n">
        <f aca="false">(D310-D309)/D309</f>
        <v>-0.000170105714816052</v>
      </c>
      <c r="J310" s="25" t="n">
        <f aca="false">(E310-E309)/E309</f>
        <v>-0.00243902439024381</v>
      </c>
      <c r="L310" s="24" t="n">
        <f aca="false">MAX($B$2:B310)</f>
        <v>149.207151</v>
      </c>
      <c r="M310" s="25" t="n">
        <f aca="false">(B310-L310)/L310</f>
        <v>-0.0262766159243936</v>
      </c>
    </row>
    <row r="311" customFormat="false" ht="15" hidden="false" customHeight="false" outlineLevel="0" collapsed="false">
      <c r="A311" s="22" t="n">
        <v>45828</v>
      </c>
      <c r="B311" s="23" t="n">
        <v>143.65866</v>
      </c>
      <c r="C311" s="23" t="n">
        <v>589.281</v>
      </c>
      <c r="D311" s="23" t="n">
        <v>524.292238</v>
      </c>
      <c r="E311" s="23" t="n">
        <v>128.24</v>
      </c>
      <c r="G311" s="25" t="n">
        <f aca="false">(B311-B310)/B310</f>
        <v>-0.0112042900726106</v>
      </c>
      <c r="H311" s="25" t="n">
        <f aca="false">(C311-C310)/C310</f>
        <v>-0.00234143269269845</v>
      </c>
      <c r="I311" s="25" t="n">
        <f aca="false">(D311-D310)/D310</f>
        <v>-0.00408325263163495</v>
      </c>
      <c r="J311" s="25" t="n">
        <f aca="false">(E311-E310)/E310</f>
        <v>0.011436233141415</v>
      </c>
      <c r="L311" s="24" t="n">
        <f aca="false">MAX($B$2:B311)</f>
        <v>149.207151</v>
      </c>
      <c r="M311" s="25" t="n">
        <f aca="false">(B311-L311)/L311</f>
        <v>-0.0371864951700607</v>
      </c>
    </row>
    <row r="312" customFormat="false" ht="15" hidden="false" customHeight="false" outlineLevel="0" collapsed="false">
      <c r="A312" s="22" t="n">
        <v>45831</v>
      </c>
      <c r="B312" s="23" t="n">
        <v>143.978234</v>
      </c>
      <c r="C312" s="23" t="n">
        <v>595.102</v>
      </c>
      <c r="D312" s="23" t="n">
        <v>529.683331</v>
      </c>
      <c r="E312" s="23" t="n">
        <v>129.58</v>
      </c>
      <c r="G312" s="25" t="n">
        <f aca="false">(B312-B311)/B311</f>
        <v>0.00222453696839431</v>
      </c>
      <c r="H312" s="25" t="n">
        <f aca="false">(C312-C311)/C311</f>
        <v>0.0098781396311777</v>
      </c>
      <c r="I312" s="25" t="n">
        <f aca="false">(D312-D311)/D311</f>
        <v>0.0102826107450402</v>
      </c>
      <c r="J312" s="25" t="n">
        <f aca="false">(E312-E311)/E311</f>
        <v>0.0104491578290705</v>
      </c>
      <c r="L312" s="24" t="n">
        <f aca="false">MAX($B$2:B312)</f>
        <v>149.207151</v>
      </c>
      <c r="M312" s="25" t="n">
        <f aca="false">(B312-L312)/L312</f>
        <v>-0.0350446809348972</v>
      </c>
    </row>
    <row r="313" customFormat="false" ht="15" hidden="false" customHeight="false" outlineLevel="0" collapsed="false">
      <c r="A313" s="22" t="n">
        <v>45832</v>
      </c>
      <c r="B313" s="23" t="n">
        <v>147.703273</v>
      </c>
      <c r="C313" s="23" t="n">
        <v>601.676</v>
      </c>
      <c r="D313" s="23" t="n">
        <v>537.783257</v>
      </c>
      <c r="E313" s="23" t="n">
        <v>138.43</v>
      </c>
      <c r="G313" s="25" t="n">
        <f aca="false">(B313-B312)/B312</f>
        <v>0.0258722370493863</v>
      </c>
      <c r="H313" s="25" t="n">
        <f aca="false">(C313-C312)/C312</f>
        <v>0.0110468457508126</v>
      </c>
      <c r="I313" s="25" t="n">
        <f aca="false">(D313-D312)/D312</f>
        <v>0.015292016051757</v>
      </c>
      <c r="J313" s="25" t="n">
        <f aca="false">(E313-E312)/E312</f>
        <v>0.0682975767865411</v>
      </c>
      <c r="L313" s="24" t="n">
        <f aca="false">MAX($B$2:B313)</f>
        <v>149.207151</v>
      </c>
      <c r="M313" s="25" t="n">
        <f aca="false">(B313-L313)/L313</f>
        <v>-0.0100791281779786</v>
      </c>
    </row>
    <row r="314" customFormat="false" ht="15" hidden="false" customHeight="false" outlineLevel="0" collapsed="false">
      <c r="A314" s="22" t="n">
        <v>45833</v>
      </c>
      <c r="B314" s="23" t="n">
        <v>154.104746</v>
      </c>
      <c r="C314" s="23" t="n">
        <v>602.013</v>
      </c>
      <c r="D314" s="23" t="n">
        <v>539.158152</v>
      </c>
      <c r="E314" s="23" t="n">
        <v>143.4</v>
      </c>
      <c r="G314" s="25" t="n">
        <f aca="false">(B314-B313)/B313</f>
        <v>0.0433400890175264</v>
      </c>
      <c r="H314" s="25" t="n">
        <f aca="false">(C314-C313)/C313</f>
        <v>0.00056010211475942</v>
      </c>
      <c r="I314" s="25" t="n">
        <f aca="false">(D314-D313)/D313</f>
        <v>0.00255659688564816</v>
      </c>
      <c r="J314" s="25" t="n">
        <f aca="false">(E314-E313)/E313</f>
        <v>0.0359026222639601</v>
      </c>
      <c r="L314" s="24" t="n">
        <f aca="false">MAX($B$2:B314)</f>
        <v>154.104746</v>
      </c>
      <c r="M314" s="25" t="n">
        <f aca="false">(B314-L314)/L314</f>
        <v>0</v>
      </c>
    </row>
    <row r="315" customFormat="false" ht="15" hidden="false" customHeight="false" outlineLevel="0" collapsed="false">
      <c r="A315" s="22" t="n">
        <v>45834</v>
      </c>
      <c r="B315" s="23" t="n">
        <v>154.813802</v>
      </c>
      <c r="C315" s="23" t="n">
        <v>606.724</v>
      </c>
      <c r="D315" s="23" t="n">
        <v>544.199434</v>
      </c>
      <c r="E315" s="23" t="n">
        <v>143.68</v>
      </c>
      <c r="G315" s="25" t="n">
        <f aca="false">(B315-B314)/B314</f>
        <v>0.00460113019491304</v>
      </c>
      <c r="H315" s="25" t="n">
        <f aca="false">(C315-C314)/C314</f>
        <v>0.00782541240803772</v>
      </c>
      <c r="I315" s="25" t="n">
        <f aca="false">(D315-D314)/D314</f>
        <v>0.00935028429283589</v>
      </c>
      <c r="J315" s="25" t="n">
        <f aca="false">(E315-E314)/E314</f>
        <v>0.00195258019525803</v>
      </c>
      <c r="L315" s="24" t="n">
        <f aca="false">MAX($B$2:B315)</f>
        <v>154.813802</v>
      </c>
      <c r="M315" s="25" t="n">
        <f aca="false">(B315-L315)/L315</f>
        <v>0</v>
      </c>
    </row>
    <row r="316" customFormat="false" ht="15" hidden="false" customHeight="false" outlineLevel="0" collapsed="false">
      <c r="A316" s="22" t="n">
        <v>45835</v>
      </c>
      <c r="B316" s="23" t="n">
        <v>157.540171</v>
      </c>
      <c r="C316" s="23" t="n">
        <v>609.738</v>
      </c>
      <c r="D316" s="23" t="n">
        <v>546.062516</v>
      </c>
      <c r="E316" s="23" t="n">
        <v>143.81</v>
      </c>
      <c r="G316" s="25" t="n">
        <f aca="false">(B316-B315)/B315</f>
        <v>0.0176106326747274</v>
      </c>
      <c r="H316" s="25" t="n">
        <f aca="false">(C316-C315)/C315</f>
        <v>0.00496766239674054</v>
      </c>
      <c r="I316" s="25" t="n">
        <f aca="false">(D316-D315)/D315</f>
        <v>0.00342352800021465</v>
      </c>
      <c r="J316" s="25" t="n">
        <f aca="false">(E316-E315)/E315</f>
        <v>0.000904788418708209</v>
      </c>
      <c r="L316" s="24" t="n">
        <f aca="false">MAX($B$2:B316)</f>
        <v>157.540171</v>
      </c>
      <c r="M316" s="25" t="n">
        <f aca="false">(B316-L316)/L316</f>
        <v>0</v>
      </c>
    </row>
    <row r="317" customFormat="false" ht="15" hidden="false" customHeight="false" outlineLevel="0" collapsed="false">
      <c r="A317" s="22" t="n">
        <v>45838</v>
      </c>
      <c r="B317" s="23" t="n">
        <v>157.779852</v>
      </c>
      <c r="C317" s="23" t="n">
        <v>612.653</v>
      </c>
      <c r="D317" s="23" t="n">
        <v>549.599384</v>
      </c>
      <c r="E317" s="23" t="n">
        <v>141.9</v>
      </c>
      <c r="G317" s="25" t="n">
        <f aca="false">(B317-B316)/B316</f>
        <v>0.00152139608887449</v>
      </c>
      <c r="H317" s="25" t="n">
        <f aca="false">(C317-C316)/C316</f>
        <v>0.00478074189241931</v>
      </c>
      <c r="I317" s="25" t="n">
        <f aca="false">(D317-D316)/D316</f>
        <v>0.00647703861072205</v>
      </c>
      <c r="J317" s="25" t="n">
        <f aca="false">(E317-E316)/E316</f>
        <v>-0.0132814129754537</v>
      </c>
      <c r="L317" s="24" t="n">
        <f aca="false">MAX($B$2:B317)</f>
        <v>157.779852</v>
      </c>
      <c r="M317" s="25" t="n">
        <f aca="false">(B317-L317)/L317</f>
        <v>0</v>
      </c>
    </row>
    <row r="318" customFormat="false" ht="15" hidden="false" customHeight="false" outlineLevel="0" collapsed="false">
      <c r="A318" s="22" t="n">
        <v>45839</v>
      </c>
      <c r="B318" s="23" t="n">
        <v>153.09609</v>
      </c>
      <c r="C318" s="23" t="n">
        <v>612.455</v>
      </c>
      <c r="D318" s="23" t="n">
        <v>544.966586</v>
      </c>
      <c r="E318" s="23" t="n">
        <v>136.11</v>
      </c>
      <c r="G318" s="25" t="n">
        <f aca="false">(B318-B317)/B317</f>
        <v>-0.0296854252341421</v>
      </c>
      <c r="H318" s="25" t="n">
        <f aca="false">(C318-C317)/C317</f>
        <v>-0.000323184575934467</v>
      </c>
      <c r="I318" s="25" t="n">
        <f aca="false">(D318-D317)/D317</f>
        <v>-0.00842940901112797</v>
      </c>
      <c r="J318" s="25" t="n">
        <f aca="false">(E318-E317)/E317</f>
        <v>-0.0408033826638477</v>
      </c>
      <c r="L318" s="24" t="n">
        <f aca="false">MAX($B$2:B318)</f>
        <v>157.779852</v>
      </c>
      <c r="M318" s="25" t="n">
        <f aca="false">(B318-L318)/L318</f>
        <v>-0.0296854252341421</v>
      </c>
    </row>
    <row r="319" customFormat="false" ht="15" hidden="false" customHeight="false" outlineLevel="0" collapsed="false">
      <c r="A319" s="22" t="n">
        <v>45840</v>
      </c>
      <c r="B319" s="23" t="n">
        <v>157.040836</v>
      </c>
      <c r="C319" s="23" t="n">
        <v>615.231</v>
      </c>
      <c r="D319" s="23" t="n">
        <v>548.762492</v>
      </c>
      <c r="E319" s="23" t="n">
        <v>138.52</v>
      </c>
      <c r="G319" s="25" t="n">
        <f aca="false">(B319-B318)/B318</f>
        <v>0.0257664712403825</v>
      </c>
      <c r="H319" s="25" t="n">
        <f aca="false">(C319-C318)/C318</f>
        <v>0.00453257790368264</v>
      </c>
      <c r="I319" s="25" t="n">
        <f aca="false">(D319-D318)/D318</f>
        <v>0.00696539218644856</v>
      </c>
      <c r="J319" s="25" t="n">
        <f aca="false">(E319-E318)/E318</f>
        <v>0.0177062669899346</v>
      </c>
      <c r="L319" s="24" t="n">
        <f aca="false">MAX($B$2:B319)</f>
        <v>157.779852</v>
      </c>
      <c r="M319" s="25" t="n">
        <f aca="false">(B319-L319)/L319</f>
        <v>-0.00468384264931363</v>
      </c>
    </row>
    <row r="320" customFormat="false" ht="15" hidden="false" customHeight="false" outlineLevel="0" collapsed="false">
      <c r="A320" s="22" t="n">
        <v>45841</v>
      </c>
      <c r="B320" s="23" t="n">
        <v>159.128056</v>
      </c>
      <c r="C320" s="23" t="n">
        <v>620.08</v>
      </c>
      <c r="D320" s="23" t="n">
        <v>554.162442</v>
      </c>
      <c r="E320" s="23" t="n">
        <v>137.91</v>
      </c>
      <c r="G320" s="25" t="n">
        <f aca="false">(B320-B319)/B319</f>
        <v>0.0132909379061124</v>
      </c>
      <c r="H320" s="25" t="n">
        <f aca="false">(C320-C319)/C319</f>
        <v>0.00788159244251354</v>
      </c>
      <c r="I320" s="25" t="n">
        <f aca="false">(D320-D319)/D319</f>
        <v>0.00984023157326158</v>
      </c>
      <c r="J320" s="25" t="n">
        <f aca="false">(E320-E319)/E319</f>
        <v>-0.00440369621715286</v>
      </c>
      <c r="L320" s="24" t="n">
        <f aca="false">MAX($B$2:B320)</f>
        <v>159.128056</v>
      </c>
      <c r="M320" s="25" t="n">
        <f aca="false">(B320-L320)/L320</f>
        <v>0</v>
      </c>
    </row>
    <row r="321" customFormat="false" ht="15" hidden="false" customHeight="false" outlineLevel="0" collapsed="false">
      <c r="A321" s="22" t="n">
        <v>45845</v>
      </c>
      <c r="B321" s="23" t="n">
        <v>158.029519</v>
      </c>
      <c r="C321" s="23" t="n">
        <v>615.459</v>
      </c>
      <c r="D321" s="23" t="n">
        <v>549.987942</v>
      </c>
      <c r="E321" s="23" t="n">
        <v>134.8</v>
      </c>
      <c r="G321" s="25" t="n">
        <f aca="false">(B321-B320)/B320</f>
        <v>-0.00690347778772584</v>
      </c>
      <c r="H321" s="25" t="n">
        <f aca="false">(C321-C320)/C320</f>
        <v>-0.00745226422397125</v>
      </c>
      <c r="I321" s="25" t="n">
        <f aca="false">(D321-D320)/D320</f>
        <v>-0.00753298975826312</v>
      </c>
      <c r="J321" s="25" t="n">
        <f aca="false">(E321-E320)/E320</f>
        <v>-0.0225509390182002</v>
      </c>
      <c r="L321" s="24" t="n">
        <f aca="false">MAX($B$2:B321)</f>
        <v>159.128056</v>
      </c>
      <c r="M321" s="25" t="n">
        <f aca="false">(B321-L321)/L321</f>
        <v>-0.00690347778772584</v>
      </c>
    </row>
    <row r="322" customFormat="false" ht="15" hidden="false" customHeight="false" outlineLevel="0" collapsed="false">
      <c r="A322" s="22" t="n">
        <v>45846</v>
      </c>
      <c r="B322" s="23" t="n">
        <v>159.787178</v>
      </c>
      <c r="C322" s="23" t="n">
        <v>615.122</v>
      </c>
      <c r="D322" s="23" t="n">
        <v>550.296795</v>
      </c>
      <c r="E322" s="23" t="n">
        <v>137.82</v>
      </c>
      <c r="G322" s="25" t="n">
        <f aca="false">(B322-B321)/B321</f>
        <v>0.0111223460725715</v>
      </c>
      <c r="H322" s="25" t="n">
        <f aca="false">(C322-C321)/C321</f>
        <v>-0.000547558813828361</v>
      </c>
      <c r="I322" s="25" t="n">
        <f aca="false">(D322-D321)/D321</f>
        <v>0.000561563220598751</v>
      </c>
      <c r="J322" s="25" t="n">
        <f aca="false">(E322-E321)/E321</f>
        <v>0.0224035608308604</v>
      </c>
      <c r="L322" s="24" t="n">
        <f aca="false">MAX($B$2:B322)</f>
        <v>159.787178</v>
      </c>
      <c r="M322" s="25" t="n">
        <f aca="false">(B322-L322)/L322</f>
        <v>0</v>
      </c>
    </row>
    <row r="323" customFormat="false" ht="15" hidden="false" customHeight="false" outlineLevel="0" collapsed="false">
      <c r="A323" s="22" t="n">
        <v>45847</v>
      </c>
      <c r="B323" s="23" t="n">
        <v>162.663347</v>
      </c>
      <c r="C323" s="23" t="n">
        <v>618.811</v>
      </c>
      <c r="D323" s="23" t="n">
        <v>554.192331</v>
      </c>
      <c r="E323" s="23" t="n">
        <v>138.41</v>
      </c>
      <c r="G323" s="25" t="n">
        <f aca="false">(B323-B322)/B322</f>
        <v>0.0179999987233017</v>
      </c>
      <c r="H323" s="25" t="n">
        <f aca="false">(C323-C322)/C322</f>
        <v>0.00599718429839947</v>
      </c>
      <c r="I323" s="25" t="n">
        <f aca="false">(D323-D322)/D322</f>
        <v>0.00707897272052982</v>
      </c>
      <c r="J323" s="25" t="n">
        <f aca="false">(E323-E322)/E322</f>
        <v>0.00428094616166016</v>
      </c>
      <c r="L323" s="24" t="n">
        <f aca="false">MAX($B$2:B323)</f>
        <v>162.663347</v>
      </c>
      <c r="M323" s="25" t="n">
        <f aca="false">(B323-L323)/L323</f>
        <v>0</v>
      </c>
    </row>
    <row r="324" customFormat="false" ht="15" hidden="false" customHeight="false" outlineLevel="0" collapsed="false">
      <c r="A324" s="22" t="n">
        <v>45848</v>
      </c>
      <c r="B324" s="23" t="n">
        <v>163.881724</v>
      </c>
      <c r="C324" s="23" t="n">
        <v>620.556</v>
      </c>
      <c r="D324" s="23" t="n">
        <v>553.39529</v>
      </c>
      <c r="E324" s="23" t="n">
        <v>144.16</v>
      </c>
      <c r="G324" s="25" t="n">
        <f aca="false">(B324-B323)/B323</f>
        <v>0.0074901753988869</v>
      </c>
      <c r="H324" s="25" t="n">
        <f aca="false">(C324-C323)/C323</f>
        <v>0.00281992401557181</v>
      </c>
      <c r="I324" s="25" t="n">
        <f aca="false">(D324-D323)/D323</f>
        <v>-0.0014382028682384</v>
      </c>
      <c r="J324" s="25" t="n">
        <f aca="false">(E324-E323)/E323</f>
        <v>0.0415432410952966</v>
      </c>
      <c r="L324" s="24" t="n">
        <f aca="false">MAX($B$2:B324)</f>
        <v>163.881724</v>
      </c>
      <c r="M324" s="25" t="n">
        <f aca="false">(B324-L324)/L324</f>
        <v>0</v>
      </c>
    </row>
    <row r="325" customFormat="false" ht="15" hidden="false" customHeight="false" outlineLevel="0" collapsed="false">
      <c r="A325" s="22" t="n">
        <v>45849</v>
      </c>
      <c r="B325" s="23" t="n">
        <v>164.700634</v>
      </c>
      <c r="C325" s="23" t="n">
        <v>618.375</v>
      </c>
      <c r="D325" s="23" t="n">
        <v>552.149914</v>
      </c>
      <c r="E325" s="23" t="n">
        <v>146.42</v>
      </c>
      <c r="G325" s="25" t="n">
        <f aca="false">(B325-B324)/B324</f>
        <v>0.00499695743986692</v>
      </c>
      <c r="H325" s="25" t="n">
        <f aca="false">(C325-C324)/C324</f>
        <v>-0.00351459014174392</v>
      </c>
      <c r="I325" s="25" t="n">
        <f aca="false">(D325-D324)/D324</f>
        <v>-0.00225042753797214</v>
      </c>
      <c r="J325" s="25" t="n">
        <f aca="false">(E325-E324)/E324</f>
        <v>0.0156770255271919</v>
      </c>
      <c r="L325" s="24" t="n">
        <f aca="false">MAX($B$2:B325)</f>
        <v>164.700634</v>
      </c>
      <c r="M325" s="25" t="n">
        <f aca="false">(B325-L325)/L325</f>
        <v>0</v>
      </c>
    </row>
    <row r="326" customFormat="false" ht="15" hidden="false" customHeight="false" outlineLevel="0" collapsed="false">
      <c r="A326" s="22" t="n">
        <v>45852</v>
      </c>
      <c r="B326" s="23" t="n">
        <v>163.851764</v>
      </c>
      <c r="C326" s="23" t="n">
        <v>619.555</v>
      </c>
      <c r="D326" s="23" t="n">
        <v>554.152479</v>
      </c>
      <c r="E326" s="23" t="n">
        <v>146.24</v>
      </c>
      <c r="G326" s="25" t="n">
        <f aca="false">(B326-B325)/B325</f>
        <v>-0.00515401780420593</v>
      </c>
      <c r="H326" s="25" t="n">
        <f aca="false">(C326-C325)/C325</f>
        <v>0.00190822720840906</v>
      </c>
      <c r="I326" s="25" t="n">
        <f aca="false">(D326-D325)/D325</f>
        <v>0.00362685015287353</v>
      </c>
      <c r="J326" s="25" t="n">
        <f aca="false">(E326-E325)/E325</f>
        <v>-0.00122934025406351</v>
      </c>
      <c r="L326" s="24" t="n">
        <f aca="false">MAX($B$2:B326)</f>
        <v>164.700634</v>
      </c>
      <c r="M326" s="25" t="n">
        <f aca="false">(B326-L326)/L326</f>
        <v>-0.00515401780420593</v>
      </c>
    </row>
    <row r="327" customFormat="false" ht="15" hidden="false" customHeight="false" outlineLevel="0" collapsed="false">
      <c r="A327" s="22" t="n">
        <v>45853</v>
      </c>
      <c r="B327" s="23" t="n">
        <v>170.472946</v>
      </c>
      <c r="C327" s="23" t="n">
        <v>616.907</v>
      </c>
      <c r="D327" s="23" t="n">
        <v>554.660593</v>
      </c>
      <c r="E327" s="23" t="n">
        <v>155.61</v>
      </c>
      <c r="G327" s="25" t="n">
        <f aca="false">(B327-B326)/B326</f>
        <v>0.040409586313639</v>
      </c>
      <c r="H327" s="25" t="n">
        <f aca="false">(C327-C326)/C326</f>
        <v>-0.00427403539637306</v>
      </c>
      <c r="I327" s="25" t="n">
        <f aca="false">(D327-D326)/D326</f>
        <v>0.000916920918439089</v>
      </c>
      <c r="J327" s="25" t="n">
        <f aca="false">(E327-E326)/E326</f>
        <v>0.0640727571115974</v>
      </c>
      <c r="L327" s="24" t="n">
        <f aca="false">MAX($B$2:B327)</f>
        <v>170.472946</v>
      </c>
      <c r="M327" s="25" t="n">
        <f aca="false">(B327-L327)/L327</f>
        <v>0</v>
      </c>
    </row>
    <row r="328" customFormat="false" ht="15" hidden="false" customHeight="false" outlineLevel="0" collapsed="false">
      <c r="A328" s="22" t="n">
        <v>45854</v>
      </c>
      <c r="B328" s="23" t="n">
        <v>171.142054</v>
      </c>
      <c r="C328" s="23" t="n">
        <v>618.97</v>
      </c>
      <c r="D328" s="23" t="n">
        <v>555.228484</v>
      </c>
      <c r="E328" s="23" t="n">
        <v>160.08</v>
      </c>
      <c r="G328" s="25" t="n">
        <f aca="false">(B328-B327)/B327</f>
        <v>0.00392500989570506</v>
      </c>
      <c r="H328" s="25" t="n">
        <f aca="false">(C328-C327)/C327</f>
        <v>0.0033441021093941</v>
      </c>
      <c r="I328" s="25" t="n">
        <f aca="false">(D328-D327)/D327</f>
        <v>0.00102385315843059</v>
      </c>
      <c r="J328" s="25" t="n">
        <f aca="false">(E328-E327)/E327</f>
        <v>0.0287256603046077</v>
      </c>
      <c r="L328" s="24" t="n">
        <f aca="false">MAX($B$2:B328)</f>
        <v>171.142054</v>
      </c>
      <c r="M328" s="25" t="n">
        <f aca="false">(B328-L328)/L328</f>
        <v>0</v>
      </c>
    </row>
    <row r="329" customFormat="false" ht="15" hidden="false" customHeight="false" outlineLevel="0" collapsed="false">
      <c r="A329" s="22" t="n">
        <v>45855</v>
      </c>
      <c r="B329" s="23" t="n">
        <v>172.769886</v>
      </c>
      <c r="C329" s="23" t="n">
        <v>622.758</v>
      </c>
      <c r="D329" s="23" t="n">
        <v>559.721801</v>
      </c>
      <c r="E329" s="23" t="n">
        <v>160.41</v>
      </c>
      <c r="G329" s="25" t="n">
        <f aca="false">(B329-B328)/B328</f>
        <v>0.00951158386821752</v>
      </c>
      <c r="H329" s="25" t="n">
        <f aca="false">(C329-C328)/C328</f>
        <v>0.00611984425739537</v>
      </c>
      <c r="I329" s="25" t="n">
        <f aca="false">(D329-D328)/D328</f>
        <v>0.00809273502618077</v>
      </c>
      <c r="J329" s="25" t="n">
        <f aca="false">(E329-E328)/E328</f>
        <v>0.00206146926536722</v>
      </c>
      <c r="L329" s="24" t="n">
        <f aca="false">MAX($B$2:B329)</f>
        <v>172.769886</v>
      </c>
      <c r="M329" s="25" t="n">
        <f aca="false">(B329-L329)/L329</f>
        <v>0</v>
      </c>
    </row>
    <row r="330" customFormat="false" ht="15" hidden="false" customHeight="false" outlineLevel="0" collapsed="false">
      <c r="A330" s="22" t="n">
        <v>45856</v>
      </c>
      <c r="B330" s="23" t="n">
        <v>172.180671</v>
      </c>
      <c r="C330" s="23" t="n">
        <v>622.301</v>
      </c>
      <c r="D330" s="23" t="n">
        <v>559.183798</v>
      </c>
      <c r="E330" s="23" t="n">
        <v>156.99</v>
      </c>
      <c r="G330" s="25" t="n">
        <f aca="false">(B330-B329)/B329</f>
        <v>-0.00341040336161375</v>
      </c>
      <c r="H330" s="25" t="n">
        <f aca="false">(C330-C329)/C329</f>
        <v>-0.000733832403598177</v>
      </c>
      <c r="I330" s="25" t="n">
        <f aca="false">(D330-D329)/D329</f>
        <v>-0.000961197150153534</v>
      </c>
      <c r="J330" s="25" t="n">
        <f aca="false">(E330-E329)/E329</f>
        <v>-0.0213203665606882</v>
      </c>
      <c r="L330" s="24" t="n">
        <f aca="false">MAX($B$2:B330)</f>
        <v>172.769886</v>
      </c>
      <c r="M330" s="25" t="n">
        <f aca="false">(B330-L330)/L330</f>
        <v>-0.00341040336161375</v>
      </c>
    </row>
    <row r="331" customFormat="false" ht="15" hidden="false" customHeight="false" outlineLevel="0" collapsed="false">
      <c r="A331" s="22" t="n">
        <v>45859</v>
      </c>
      <c r="B331" s="23" t="n">
        <v>171.152041</v>
      </c>
      <c r="C331" s="23" t="n">
        <v>623.481</v>
      </c>
      <c r="D331" s="23" t="n">
        <v>562.083034</v>
      </c>
      <c r="E331" s="23" t="n">
        <v>157</v>
      </c>
      <c r="G331" s="25" t="n">
        <f aca="false">(B331-B330)/B330</f>
        <v>-0.00597413167242212</v>
      </c>
      <c r="H331" s="25" t="n">
        <f aca="false">(C331-C330)/C330</f>
        <v>0.00189618850042013</v>
      </c>
      <c r="I331" s="25" t="n">
        <f aca="false">(D331-D330)/D330</f>
        <v>0.00518476395483829</v>
      </c>
      <c r="J331" s="25" t="n">
        <f aca="false">(E331-E330)/E330</f>
        <v>6.36983247340016E-005</v>
      </c>
      <c r="L331" s="24" t="n">
        <f aca="false">MAX($B$2:B331)</f>
        <v>172.769886</v>
      </c>
      <c r="M331" s="25" t="n">
        <f aca="false">(B331-L331)/L331</f>
        <v>-0.00936416083529752</v>
      </c>
    </row>
    <row r="332" customFormat="false" ht="15" hidden="false" customHeight="false" outlineLevel="0" collapsed="false">
      <c r="A332" s="22" t="n">
        <v>45860</v>
      </c>
      <c r="B332" s="23" t="n">
        <v>166.807827</v>
      </c>
      <c r="C332" s="23" t="n">
        <v>623.571</v>
      </c>
      <c r="D332" s="23" t="n">
        <v>559.173835</v>
      </c>
      <c r="E332" s="23" t="n">
        <v>154.72</v>
      </c>
      <c r="G332" s="25" t="n">
        <f aca="false">(B332-B331)/B331</f>
        <v>-0.0253821921995075</v>
      </c>
      <c r="H332" s="25" t="n">
        <f aca="false">(C332-C331)/C331</f>
        <v>0.00014435083025791</v>
      </c>
      <c r="I332" s="25" t="n">
        <f aca="false">(D332-D331)/D331</f>
        <v>-0.00517574597350317</v>
      </c>
      <c r="J332" s="25" t="n">
        <f aca="false">(E332-E331)/E331</f>
        <v>-0.0145222929936306</v>
      </c>
      <c r="L332" s="24" t="n">
        <f aca="false">MAX($B$2:B332)</f>
        <v>172.769886</v>
      </c>
      <c r="M332" s="25" t="n">
        <f aca="false">(B332-L332)/L332</f>
        <v>-0.0345086701046964</v>
      </c>
    </row>
    <row r="333" customFormat="false" ht="15" hidden="false" customHeight="false" outlineLevel="0" collapsed="false">
      <c r="A333" s="22" t="n">
        <v>45861</v>
      </c>
      <c r="B333" s="23" t="n">
        <v>170.552839</v>
      </c>
      <c r="C333" s="23" t="n">
        <v>628.876</v>
      </c>
      <c r="D333" s="23" t="n">
        <v>561.724365</v>
      </c>
      <c r="E333" s="23" t="n">
        <v>158.65</v>
      </c>
      <c r="G333" s="25" t="n">
        <f aca="false">(B333-B332)/B332</f>
        <v>0.0224510568080238</v>
      </c>
      <c r="H333" s="25" t="n">
        <f aca="false">(C333-C332)/C332</f>
        <v>0.0085074514369654</v>
      </c>
      <c r="I333" s="25" t="n">
        <f aca="false">(D333-D332)/D332</f>
        <v>0.00456124704046637</v>
      </c>
      <c r="J333" s="25" t="n">
        <f aca="false">(E333-E332)/E332</f>
        <v>0.0254007238883144</v>
      </c>
      <c r="L333" s="24" t="n">
        <f aca="false">MAX($B$2:B333)</f>
        <v>172.769886</v>
      </c>
      <c r="M333" s="25" t="n">
        <f aca="false">(B333-L333)/L333</f>
        <v>-0.0128323694095625</v>
      </c>
    </row>
    <row r="334" customFormat="false" ht="15" hidden="false" customHeight="false" outlineLevel="0" collapsed="false">
      <c r="A334" s="22" t="n">
        <v>45862</v>
      </c>
      <c r="B334" s="23" t="n">
        <v>173.508902</v>
      </c>
      <c r="C334" s="23" t="n">
        <v>629.084</v>
      </c>
      <c r="D334" s="23" t="n">
        <v>562.919926</v>
      </c>
      <c r="E334" s="23" t="n">
        <v>162.12</v>
      </c>
      <c r="G334" s="25" t="n">
        <f aca="false">(B334-B333)/B333</f>
        <v>0.017332241534836</v>
      </c>
      <c r="H334" s="25" t="n">
        <f aca="false">(C334-C333)/C333</f>
        <v>0.000330748828067807</v>
      </c>
      <c r="I334" s="25" t="n">
        <f aca="false">(D334-D333)/D333</f>
        <v>0.00212837661047514</v>
      </c>
      <c r="J334" s="25" t="n">
        <f aca="false">(E334-E333)/E333</f>
        <v>0.0218720453829184</v>
      </c>
      <c r="L334" s="24" t="n">
        <f aca="false">MAX($B$2:B334)</f>
        <v>173.508902</v>
      </c>
      <c r="M334" s="25" t="n">
        <f aca="false">(B334-L334)/L334</f>
        <v>0</v>
      </c>
    </row>
    <row r="335" customFormat="false" ht="15" hidden="false" customHeight="false" outlineLevel="0" collapsed="false">
      <c r="A335" s="22" t="n">
        <v>45863</v>
      </c>
      <c r="B335" s="23" t="n">
        <v>173.269221</v>
      </c>
      <c r="C335" s="23" t="n">
        <v>631.741</v>
      </c>
      <c r="D335" s="23" t="n">
        <v>564.274895</v>
      </c>
      <c r="E335" s="23" t="n">
        <v>166.47</v>
      </c>
      <c r="G335" s="25" t="n">
        <f aca="false">(B335-B334)/B334</f>
        <v>-0.00138137580975539</v>
      </c>
      <c r="H335" s="25" t="n">
        <f aca="false">(C335-C334)/C334</f>
        <v>0.00422360129966752</v>
      </c>
      <c r="I335" s="25" t="n">
        <f aca="false">(D335-D334)/D334</f>
        <v>0.00240703684026275</v>
      </c>
      <c r="J335" s="25" t="n">
        <f aca="false">(E335-E334)/E334</f>
        <v>0.0268319763138416</v>
      </c>
      <c r="L335" s="24" t="n">
        <f aca="false">MAX($B$2:B335)</f>
        <v>173.508902</v>
      </c>
      <c r="M335" s="25" t="n">
        <f aca="false">(B335-L335)/L335</f>
        <v>-0.00138137580975539</v>
      </c>
    </row>
    <row r="336" customFormat="false" ht="15" hidden="false" customHeight="false" outlineLevel="0" collapsed="false">
      <c r="A336" s="22" t="n">
        <v>45866</v>
      </c>
      <c r="B336" s="23" t="n">
        <v>176.514898</v>
      </c>
      <c r="C336" s="23" t="n">
        <v>631.583</v>
      </c>
      <c r="D336" s="23" t="n">
        <v>566.038348</v>
      </c>
      <c r="E336" s="23" t="n">
        <v>173.66</v>
      </c>
      <c r="G336" s="25" t="n">
        <f aca="false">(B336-B335)/B335</f>
        <v>0.0187319881815594</v>
      </c>
      <c r="H336" s="25" t="n">
        <f aca="false">(C336-C335)/C335</f>
        <v>-0.000250102494534968</v>
      </c>
      <c r="I336" s="25" t="n">
        <f aca="false">(D336-D335)/D335</f>
        <v>0.00312516650240133</v>
      </c>
      <c r="J336" s="25" t="n">
        <f aca="false">(E336-E335)/E335</f>
        <v>0.0431909653391001</v>
      </c>
      <c r="L336" s="24" t="n">
        <f aca="false">MAX($B$2:B336)</f>
        <v>176.514898</v>
      </c>
      <c r="M336" s="25" t="n">
        <f aca="false">(B336-L336)/L336</f>
        <v>0</v>
      </c>
    </row>
    <row r="337" customFormat="false" ht="15" hidden="false" customHeight="false" outlineLevel="0" collapsed="false">
      <c r="A337" s="22" t="n">
        <v>45867</v>
      </c>
      <c r="B337" s="23" t="n">
        <v>175.276548</v>
      </c>
      <c r="C337" s="23" t="n">
        <v>629.917</v>
      </c>
      <c r="D337" s="23" t="n">
        <v>565.161603</v>
      </c>
      <c r="E337" s="23" t="n">
        <v>177.44</v>
      </c>
      <c r="G337" s="25" t="n">
        <f aca="false">(B337-B336)/B336</f>
        <v>-0.00701555514028055</v>
      </c>
      <c r="H337" s="25" t="n">
        <f aca="false">(C337-C336)/C336</f>
        <v>-0.00263781640734462</v>
      </c>
      <c r="I337" s="25" t="n">
        <f aca="false">(D337-D336)/D336</f>
        <v>-0.00154891449156732</v>
      </c>
      <c r="J337" s="25" t="n">
        <f aca="false">(E337-E336)/E336</f>
        <v>0.0217666705055856</v>
      </c>
      <c r="L337" s="24" t="n">
        <f aca="false">MAX($B$2:B337)</f>
        <v>176.514898</v>
      </c>
      <c r="M337" s="25" t="n">
        <f aca="false">(B337-L337)/L337</f>
        <v>-0.00701555514028055</v>
      </c>
    </row>
    <row r="338" customFormat="false" ht="15" hidden="false" customHeight="false" outlineLevel="0" collapsed="false">
      <c r="A338" s="22" t="n">
        <v>45868</v>
      </c>
      <c r="B338" s="23" t="n">
        <v>179.031546</v>
      </c>
      <c r="C338" s="23" t="n">
        <v>629.124</v>
      </c>
      <c r="D338" s="23" t="n">
        <v>565.918792</v>
      </c>
      <c r="E338" s="23" t="n">
        <v>179.51</v>
      </c>
      <c r="G338" s="25" t="n">
        <f aca="false">(B338-B337)/B337</f>
        <v>0.0214232767751679</v>
      </c>
      <c r="H338" s="25" t="n">
        <f aca="false">(C338-C337)/C337</f>
        <v>-0.0012588960132843</v>
      </c>
      <c r="I338" s="25" t="n">
        <f aca="false">(D338-D337)/D337</f>
        <v>0.00133977431584297</v>
      </c>
      <c r="J338" s="25" t="n">
        <f aca="false">(E338-E337)/E337</f>
        <v>0.011665915238954</v>
      </c>
      <c r="L338" s="24" t="n">
        <f aca="false">MAX($B$2:B338)</f>
        <v>179.031546</v>
      </c>
      <c r="M338" s="25" t="n">
        <f aca="false">(B338-L338)/L338</f>
        <v>0</v>
      </c>
    </row>
    <row r="339" customFormat="false" ht="15" hidden="false" customHeight="false" outlineLevel="0" collapsed="false">
      <c r="A339" s="22" t="n">
        <v>45869</v>
      </c>
      <c r="B339" s="23" t="n">
        <v>177.633408</v>
      </c>
      <c r="C339" s="23" t="n">
        <v>626.764</v>
      </c>
      <c r="D339" s="23" t="n">
        <v>562.919926</v>
      </c>
      <c r="E339" s="23" t="n">
        <v>176.31</v>
      </c>
      <c r="G339" s="25" t="n">
        <f aca="false">(B339-B338)/B338</f>
        <v>-0.00780945051996584</v>
      </c>
      <c r="H339" s="25" t="n">
        <f aca="false">(C339-C338)/C338</f>
        <v>-0.00375124776673599</v>
      </c>
      <c r="I339" s="25" t="n">
        <f aca="false">(D339-D338)/D338</f>
        <v>-0.00529911012391336</v>
      </c>
      <c r="J339" s="25" t="n">
        <f aca="false">(E339-E338)/E338</f>
        <v>-0.0178263049412288</v>
      </c>
      <c r="L339" s="24" t="n">
        <f aca="false">MAX($B$2:B339)</f>
        <v>179.031546</v>
      </c>
      <c r="M339" s="25" t="n">
        <f aca="false">(B339-L339)/L339</f>
        <v>-0.00780945051996584</v>
      </c>
    </row>
    <row r="340" customFormat="false" ht="15" hidden="false" customHeight="false" outlineLevel="0" collapsed="false">
      <c r="A340" s="22" t="n">
        <v>45870</v>
      </c>
      <c r="B340" s="23" t="n">
        <v>173.488929</v>
      </c>
      <c r="C340" s="23" t="n">
        <v>616.491</v>
      </c>
      <c r="D340" s="23" t="n">
        <v>551.831098</v>
      </c>
      <c r="E340" s="23" t="n">
        <v>171.7</v>
      </c>
      <c r="G340" s="25" t="n">
        <f aca="false">(B340-B339)/B339</f>
        <v>-0.0233316415344572</v>
      </c>
      <c r="H340" s="25" t="n">
        <f aca="false">(C340-C339)/C339</f>
        <v>-0.0163905393417619</v>
      </c>
      <c r="I340" s="25" t="n">
        <f aca="false">(D340-D339)/D339</f>
        <v>-0.0196987661794016</v>
      </c>
      <c r="J340" s="25" t="n">
        <f aca="false">(E340-E339)/E339</f>
        <v>-0.0261471272191028</v>
      </c>
      <c r="L340" s="24" t="n">
        <f aca="false">MAX($B$2:B340)</f>
        <v>179.031546</v>
      </c>
      <c r="M340" s="25" t="n">
        <f aca="false">(B340-L340)/L340</f>
        <v>-0.0309588847543102</v>
      </c>
    </row>
    <row r="341" customFormat="false" ht="15" hidden="false" customHeight="false" outlineLevel="0" collapsed="false">
      <c r="A341" s="22" t="n">
        <v>45873</v>
      </c>
      <c r="B341" s="23" t="n">
        <v>179.760575</v>
      </c>
      <c r="C341" s="23" t="n">
        <v>625.861</v>
      </c>
      <c r="D341" s="23" t="n">
        <v>562.013293</v>
      </c>
      <c r="E341" s="23" t="n">
        <v>176.78</v>
      </c>
      <c r="G341" s="25" t="n">
        <f aca="false">(B341-B340)/B340</f>
        <v>0.0361501222939706</v>
      </c>
      <c r="H341" s="25" t="n">
        <f aca="false">(C341-C340)/C340</f>
        <v>0.0151989242340926</v>
      </c>
      <c r="I341" s="25" t="n">
        <f aca="false">(D341-D340)/D340</f>
        <v>0.0184516513058131</v>
      </c>
      <c r="J341" s="25" t="n">
        <f aca="false">(E341-E340)/E340</f>
        <v>0.0295864880605708</v>
      </c>
      <c r="L341" s="24" t="n">
        <f aca="false">MAX($B$2:B341)</f>
        <v>179.760575</v>
      </c>
      <c r="M341" s="25" t="n">
        <f aca="false">(B341-L341)/L341</f>
        <v>0</v>
      </c>
    </row>
    <row r="342" customFormat="false" ht="15" hidden="false" customHeight="false" outlineLevel="0" collapsed="false">
      <c r="A342" s="22" t="n">
        <v>45874</v>
      </c>
      <c r="B342" s="23" t="n">
        <v>178.02289</v>
      </c>
      <c r="C342" s="23" t="n">
        <v>622.688</v>
      </c>
      <c r="D342" s="23" t="n">
        <v>558.19746</v>
      </c>
      <c r="E342" s="23" t="n">
        <v>174.31</v>
      </c>
      <c r="G342" s="25" t="n">
        <f aca="false">(B342-B341)/B341</f>
        <v>-0.00966666356068342</v>
      </c>
      <c r="H342" s="25" t="n">
        <f aca="false">(C342-C341)/C341</f>
        <v>-0.005069815821724</v>
      </c>
      <c r="I342" s="25" t="n">
        <f aca="false">(D342-D341)/D341</f>
        <v>-0.00678957784010991</v>
      </c>
      <c r="J342" s="25" t="n">
        <f aca="false">(E342-E341)/E341</f>
        <v>-0.0139721687973753</v>
      </c>
      <c r="L342" s="24" t="n">
        <f aca="false">MAX($B$2:B342)</f>
        <v>179.760575</v>
      </c>
      <c r="M342" s="25" t="n">
        <f aca="false">(B342-L342)/L342</f>
        <v>-0.00966666356068342</v>
      </c>
    </row>
    <row r="343" customFormat="false" ht="15" hidden="false" customHeight="false" outlineLevel="0" collapsed="false">
      <c r="A343" s="22" t="n">
        <v>45875</v>
      </c>
      <c r="B343" s="23" t="n">
        <v>179.181347</v>
      </c>
      <c r="C343" s="23" t="n">
        <v>627.458</v>
      </c>
      <c r="D343" s="23" t="n">
        <v>565.221381</v>
      </c>
      <c r="E343" s="23" t="n">
        <v>163.12</v>
      </c>
      <c r="G343" s="25" t="n">
        <f aca="false">(B343-B342)/B342</f>
        <v>0.00650734857747787</v>
      </c>
      <c r="H343" s="25" t="n">
        <f aca="false">(C343-C342)/C342</f>
        <v>0.00766033711907084</v>
      </c>
      <c r="I343" s="25" t="n">
        <f aca="false">(D343-D342)/D342</f>
        <v>0.0125832192070526</v>
      </c>
      <c r="J343" s="25" t="n">
        <f aca="false">(E343-E342)/E342</f>
        <v>-0.0641959726923297</v>
      </c>
      <c r="L343" s="24" t="n">
        <f aca="false">MAX($B$2:B343)</f>
        <v>179.760575</v>
      </c>
      <c r="M343" s="25" t="n">
        <f aca="false">(B343-L343)/L343</f>
        <v>-0.00322221933257613</v>
      </c>
    </row>
    <row r="344" customFormat="false" ht="15" hidden="false" customHeight="false" outlineLevel="0" collapsed="false">
      <c r="A344" s="22" t="n">
        <v>45876</v>
      </c>
      <c r="B344" s="23" t="n">
        <v>180.529551</v>
      </c>
      <c r="C344" s="23" t="n">
        <v>626.932</v>
      </c>
      <c r="D344" s="23" t="n">
        <v>567.134279</v>
      </c>
      <c r="E344" s="23" t="n">
        <v>172.4</v>
      </c>
      <c r="G344" s="25" t="n">
        <f aca="false">(B344-B343)/B343</f>
        <v>0.00752424302290801</v>
      </c>
      <c r="H344" s="25" t="n">
        <f aca="false">(C344-C343)/C343</f>
        <v>-0.000838303121483755</v>
      </c>
      <c r="I344" s="25" t="n">
        <f aca="false">(D344-D343)/D343</f>
        <v>0.00338433411102692</v>
      </c>
      <c r="J344" s="25" t="n">
        <f aca="false">(E344-E343)/E343</f>
        <v>0.0568906326630701</v>
      </c>
      <c r="L344" s="24" t="n">
        <f aca="false">MAX($B$2:B344)</f>
        <v>180.529551</v>
      </c>
      <c r="M344" s="25" t="n">
        <f aca="false">(B344-L344)/L344</f>
        <v>0</v>
      </c>
    </row>
    <row r="345" customFormat="false" ht="15" hidden="false" customHeight="false" outlineLevel="0" collapsed="false">
      <c r="A345" s="22" t="n">
        <v>45877</v>
      </c>
      <c r="B345" s="23" t="n">
        <v>182.456984</v>
      </c>
      <c r="C345" s="23" t="n">
        <v>631.821</v>
      </c>
      <c r="D345" s="23" t="n">
        <v>572.424636</v>
      </c>
      <c r="E345" s="23" t="n">
        <v>172.76</v>
      </c>
      <c r="G345" s="25" t="n">
        <f aca="false">(B345-B344)/B344</f>
        <v>0.0106765512312165</v>
      </c>
      <c r="H345" s="25" t="n">
        <f aca="false">(C345-C344)/C344</f>
        <v>0.00779829391385351</v>
      </c>
      <c r="I345" s="25" t="n">
        <f aca="false">(D345-D344)/D344</f>
        <v>0.00932822648161596</v>
      </c>
      <c r="J345" s="25" t="n">
        <f aca="false">(E345-E344)/E344</f>
        <v>0.00208816705336418</v>
      </c>
      <c r="L345" s="24" t="n">
        <f aca="false">MAX($B$2:B345)</f>
        <v>182.456984</v>
      </c>
      <c r="M345" s="25" t="n">
        <f aca="false">(B345-L345)/L345</f>
        <v>0</v>
      </c>
    </row>
    <row r="346" customFormat="false" ht="15" hidden="false" customHeight="false" outlineLevel="0" collapsed="false">
      <c r="A346" s="22" t="n">
        <v>45880</v>
      </c>
      <c r="B346" s="23" t="n">
        <v>181.817835</v>
      </c>
      <c r="C346" s="23" t="n">
        <v>630.571</v>
      </c>
      <c r="D346" s="23" t="n">
        <v>570.730925</v>
      </c>
      <c r="E346" s="23" t="n">
        <v>172.28</v>
      </c>
      <c r="G346" s="25" t="n">
        <f aca="false">(B346-B345)/B345</f>
        <v>-0.00350301197568849</v>
      </c>
      <c r="H346" s="25" t="n">
        <f aca="false">(C346-C345)/C345</f>
        <v>-0.00197840844163141</v>
      </c>
      <c r="I346" s="25" t="n">
        <f aca="false">(D346-D345)/D345</f>
        <v>-0.00295883666334726</v>
      </c>
      <c r="J346" s="25" t="n">
        <f aca="false">(E346-E345)/E345</f>
        <v>-0.00277842093077095</v>
      </c>
      <c r="L346" s="24" t="n">
        <f aca="false">MAX($B$2:B346)</f>
        <v>182.456984</v>
      </c>
      <c r="M346" s="25" t="n">
        <f aca="false">(B346-L346)/L346</f>
        <v>-0.00350301197568849</v>
      </c>
    </row>
    <row r="347" customFormat="false" ht="15" hidden="false" customHeight="false" outlineLevel="0" collapsed="false">
      <c r="A347" s="22" t="n">
        <v>45881</v>
      </c>
      <c r="B347" s="23" t="n">
        <v>182.916372</v>
      </c>
      <c r="C347" s="23" t="n">
        <v>637.284</v>
      </c>
      <c r="D347" s="23" t="n">
        <v>577.904291</v>
      </c>
      <c r="E347" s="23" t="n">
        <v>174.95</v>
      </c>
      <c r="G347" s="25" t="n">
        <f aca="false">(B347-B346)/B346</f>
        <v>0.00604196502504825</v>
      </c>
      <c r="H347" s="25" t="n">
        <f aca="false">(C347-C346)/C346</f>
        <v>0.0106459066465156</v>
      </c>
      <c r="I347" s="25" t="n">
        <f aca="false">(D347-D346)/D346</f>
        <v>0.0125687354334269</v>
      </c>
      <c r="J347" s="25" t="n">
        <f aca="false">(E347-E346)/E346</f>
        <v>0.0154980264685395</v>
      </c>
      <c r="L347" s="24" t="n">
        <f aca="false">MAX($B$2:B347)</f>
        <v>182.916372</v>
      </c>
      <c r="M347" s="25" t="n">
        <f aca="false">(B347-L347)/L347</f>
        <v>0</v>
      </c>
    </row>
    <row r="348" customFormat="false" ht="15" hidden="false" customHeight="false" outlineLevel="0" collapsed="false">
      <c r="A348" s="22" t="n">
        <v>45882</v>
      </c>
      <c r="B348" s="23" t="n">
        <v>181.34846</v>
      </c>
      <c r="C348" s="23" t="n">
        <v>639.466</v>
      </c>
      <c r="D348" s="23" t="n">
        <v>578.193218</v>
      </c>
      <c r="E348" s="23" t="n">
        <v>184.42</v>
      </c>
      <c r="G348" s="25" t="n">
        <f aca="false">(B348-B347)/B347</f>
        <v>-0.00857174228231471</v>
      </c>
      <c r="H348" s="25" t="n">
        <f aca="false">(C348-C347)/C347</f>
        <v>0.00342390519768269</v>
      </c>
      <c r="I348" s="25" t="n">
        <f aca="false">(D348-D347)/D347</f>
        <v>0.000499956488469919</v>
      </c>
      <c r="J348" s="25" t="n">
        <f aca="false">(E348-E347)/E347</f>
        <v>0.0541297513575307</v>
      </c>
      <c r="L348" s="24" t="n">
        <f aca="false">MAX($B$2:B348)</f>
        <v>182.916372</v>
      </c>
      <c r="M348" s="25" t="n">
        <f aca="false">(B348-L348)/L348</f>
        <v>-0.00857174228231471</v>
      </c>
    </row>
    <row r="349" customFormat="false" ht="15" hidden="false" customHeight="false" outlineLevel="0" collapsed="false">
      <c r="A349" s="22" t="n">
        <v>45883</v>
      </c>
      <c r="B349" s="23" t="n">
        <v>181.777888</v>
      </c>
      <c r="C349" s="23" t="n">
        <v>639.525</v>
      </c>
      <c r="D349" s="23" t="n">
        <v>577.744883</v>
      </c>
      <c r="E349" s="23" t="n">
        <v>180.95</v>
      </c>
      <c r="G349" s="25" t="n">
        <f aca="false">(B349-B348)/B348</f>
        <v>0.00236797158354695</v>
      </c>
      <c r="H349" s="25" t="n">
        <f aca="false">(C349-C348)/C348</f>
        <v>9.22644831781034E-005</v>
      </c>
      <c r="I349" s="25" t="n">
        <f aca="false">(D349-D348)/D348</f>
        <v>-0.000775406881372384</v>
      </c>
      <c r="J349" s="25" t="n">
        <f aca="false">(E349-E348)/E348</f>
        <v>-0.0188157466652207</v>
      </c>
      <c r="L349" s="24" t="n">
        <f aca="false">MAX($B$2:B349)</f>
        <v>182.916372</v>
      </c>
      <c r="M349" s="25" t="n">
        <f aca="false">(B349-L349)/L349</f>
        <v>-0.00622406834091377</v>
      </c>
    </row>
    <row r="350" customFormat="false" ht="15" hidden="false" customHeight="false" outlineLevel="0" collapsed="false">
      <c r="A350" s="22" t="n">
        <v>45884</v>
      </c>
      <c r="B350" s="23" t="n">
        <v>180.209977</v>
      </c>
      <c r="C350" s="23" t="n">
        <v>638.028</v>
      </c>
      <c r="D350" s="23" t="n">
        <v>575.204315</v>
      </c>
      <c r="E350" s="23" t="n">
        <v>177.51</v>
      </c>
      <c r="G350" s="25" t="n">
        <f aca="false">(B350-B349)/B349</f>
        <v>-0.00862542203152884</v>
      </c>
      <c r="H350" s="25" t="n">
        <f aca="false">(C350-C349)/C349</f>
        <v>-0.00234079981236067</v>
      </c>
      <c r="I350" s="25" t="n">
        <f aca="false">(D350-D349)/D349</f>
        <v>-0.0043973872807109</v>
      </c>
      <c r="J350" s="25" t="n">
        <f aca="false">(E350-E349)/E349</f>
        <v>-0.019010776457585</v>
      </c>
      <c r="L350" s="24" t="n">
        <f aca="false">MAX($B$2:B350)</f>
        <v>182.916372</v>
      </c>
      <c r="M350" s="25" t="n">
        <f aca="false">(B350-L350)/L350</f>
        <v>-0.0147958051562491</v>
      </c>
    </row>
    <row r="351" customFormat="false" ht="15" hidden="false" customHeight="false" outlineLevel="0" collapsed="false">
      <c r="A351" s="22" t="n">
        <v>45887</v>
      </c>
      <c r="B351" s="23" t="n">
        <v>181.767902</v>
      </c>
      <c r="C351" s="23" t="n">
        <v>637.889</v>
      </c>
      <c r="D351" s="23" t="n">
        <v>574.975166</v>
      </c>
      <c r="E351" s="23" t="n">
        <v>176.14</v>
      </c>
      <c r="G351" s="25" t="n">
        <f aca="false">(B351-B350)/B350</f>
        <v>0.00864505409708799</v>
      </c>
      <c r="H351" s="25" t="n">
        <f aca="false">(C351-C350)/C350</f>
        <v>-0.000217858777357749</v>
      </c>
      <c r="I351" s="25" t="n">
        <f aca="false">(D351-D350)/D350</f>
        <v>-0.000398378444014292</v>
      </c>
      <c r="J351" s="25" t="n">
        <f aca="false">(E351-E350)/E350</f>
        <v>-0.00771787504929302</v>
      </c>
      <c r="L351" s="24" t="n">
        <f aca="false">MAX($B$2:B351)</f>
        <v>182.916372</v>
      </c>
      <c r="M351" s="25" t="n">
        <f aca="false">(B351-L351)/L351</f>
        <v>-0.0062786615951469</v>
      </c>
    </row>
    <row r="352" customFormat="false" ht="15" hidden="false" customHeight="false" outlineLevel="0" collapsed="false">
      <c r="A352" s="22" t="n">
        <v>45888</v>
      </c>
      <c r="B352" s="23" t="n">
        <v>175.406375</v>
      </c>
      <c r="C352" s="23" t="n">
        <v>634.429</v>
      </c>
      <c r="D352" s="23" t="n">
        <v>567.174131</v>
      </c>
      <c r="E352" s="23" t="n">
        <v>166.55</v>
      </c>
      <c r="G352" s="25" t="n">
        <f aca="false">(B352-B351)/B351</f>
        <v>-0.0349980768331693</v>
      </c>
      <c r="H352" s="25" t="n">
        <f aca="false">(C352-C351)/C351</f>
        <v>-0.00542414119070879</v>
      </c>
      <c r="I352" s="25" t="n">
        <f aca="false">(D352-D351)/D351</f>
        <v>-0.0135676033701949</v>
      </c>
      <c r="J352" s="25" t="n">
        <f aca="false">(E352-E351)/E351</f>
        <v>-0.0544453275803337</v>
      </c>
      <c r="L352" s="24" t="n">
        <f aca="false">MAX($B$2:B352)</f>
        <v>182.916372</v>
      </c>
      <c r="M352" s="25" t="n">
        <f aca="false">(B352-L352)/L352</f>
        <v>-0.0410569973473998</v>
      </c>
    </row>
    <row r="353" customFormat="false" ht="15" hidden="false" customHeight="false" outlineLevel="0" collapsed="false">
      <c r="A353" s="22" t="n">
        <v>45889</v>
      </c>
      <c r="B353" s="23" t="n">
        <v>175.166694</v>
      </c>
      <c r="C353" s="23" t="n">
        <v>632.743</v>
      </c>
      <c r="D353" s="23" t="n">
        <v>563.806634</v>
      </c>
      <c r="E353" s="23" t="n">
        <v>165.2</v>
      </c>
      <c r="G353" s="25" t="n">
        <f aca="false">(B353-B352)/B352</f>
        <v>-0.00136643266243881</v>
      </c>
      <c r="H353" s="25" t="n">
        <f aca="false">(C353-C352)/C352</f>
        <v>-0.00265750777470753</v>
      </c>
      <c r="I353" s="25" t="n">
        <f aca="false">(D353-D352)/D352</f>
        <v>-0.00593732474022155</v>
      </c>
      <c r="J353" s="25" t="n">
        <f aca="false">(E353-E352)/E352</f>
        <v>-0.00810567397178038</v>
      </c>
      <c r="L353" s="24" t="n">
        <f aca="false">MAX($B$2:B353)</f>
        <v>182.916372</v>
      </c>
      <c r="M353" s="25" t="n">
        <f aca="false">(B353-L353)/L353</f>
        <v>-0.0423673283876415</v>
      </c>
    </row>
    <row r="354" customFormat="false" ht="15" hidden="false" customHeight="false" outlineLevel="0" collapsed="false">
      <c r="A354" s="22" t="n">
        <v>45890</v>
      </c>
      <c r="B354" s="23" t="n">
        <v>174.747253</v>
      </c>
      <c r="C354" s="23" t="n">
        <v>630.204</v>
      </c>
      <c r="D354" s="23" t="n">
        <v>561.196326</v>
      </c>
      <c r="E354" s="23" t="n">
        <v>163.71</v>
      </c>
      <c r="G354" s="25" t="n">
        <f aca="false">(B354-B353)/B353</f>
        <v>-0.00239452484043574</v>
      </c>
      <c r="H354" s="25" t="n">
        <f aca="false">(C354-C353)/C353</f>
        <v>-0.00401268761566718</v>
      </c>
      <c r="I354" s="25" t="n">
        <f aca="false">(D354-D353)/D353</f>
        <v>-0.00462979298679205</v>
      </c>
      <c r="J354" s="25" t="n">
        <f aca="false">(E354-E353)/E353</f>
        <v>-0.00901937046004831</v>
      </c>
      <c r="L354" s="24" t="n">
        <f aca="false">MAX($B$2:B354)</f>
        <v>182.916372</v>
      </c>
      <c r="M354" s="25" t="n">
        <f aca="false">(B354-L354)/L354</f>
        <v>-0.0446604036078301</v>
      </c>
    </row>
    <row r="355" customFormat="false" ht="15" hidden="false" customHeight="false" outlineLevel="0" collapsed="false">
      <c r="A355" s="22" t="n">
        <v>45891</v>
      </c>
      <c r="B355" s="23" t="n">
        <v>177.753249</v>
      </c>
      <c r="C355" s="23" t="n">
        <v>639.882</v>
      </c>
      <c r="D355" s="23" t="n">
        <v>569.85418</v>
      </c>
      <c r="E355" s="23" t="n">
        <v>167.76</v>
      </c>
      <c r="G355" s="25" t="n">
        <f aca="false">(B355-B354)/B354</f>
        <v>0.0172019642563423</v>
      </c>
      <c r="H355" s="25" t="n">
        <f aca="false">(C355-C354)/C354</f>
        <v>0.0153569320410534</v>
      </c>
      <c r="I355" s="25" t="n">
        <f aca="false">(D355-D354)/D354</f>
        <v>0.0154274958671059</v>
      </c>
      <c r="J355" s="25" t="n">
        <f aca="false">(E355-E354)/E354</f>
        <v>0.0247388675096206</v>
      </c>
      <c r="L355" s="24" t="n">
        <f aca="false">MAX($B$2:B355)</f>
        <v>182.916372</v>
      </c>
      <c r="M355" s="25" t="n">
        <f aca="false">(B355-L355)/L355</f>
        <v>-0.0282266860180235</v>
      </c>
    </row>
    <row r="356" customFormat="false" ht="15" hidden="false" customHeight="false" outlineLevel="0" collapsed="false">
      <c r="A356" s="22" t="n">
        <v>45894</v>
      </c>
      <c r="B356" s="23" t="n">
        <v>179.570828</v>
      </c>
      <c r="C356" s="23" t="n">
        <v>637.066</v>
      </c>
      <c r="D356" s="23" t="n">
        <v>568.210284</v>
      </c>
      <c r="E356" s="23" t="n">
        <v>163.36</v>
      </c>
      <c r="G356" s="25" t="n">
        <f aca="false">(B356-B355)/B355</f>
        <v>0.0102252927033699</v>
      </c>
      <c r="H356" s="25" t="n">
        <f aca="false">(C356-C355)/C355</f>
        <v>-0.00440081139960167</v>
      </c>
      <c r="I356" s="25" t="n">
        <f aca="false">(D356-D355)/D355</f>
        <v>-0.00288476606418863</v>
      </c>
      <c r="J356" s="25" t="n">
        <f aca="false">(E356-E355)/E355</f>
        <v>-0.0262279446828802</v>
      </c>
      <c r="L356" s="24" t="n">
        <f aca="false">MAX($B$2:B356)</f>
        <v>182.916372</v>
      </c>
      <c r="M356" s="25" t="n">
        <f aca="false">(B356-L356)/L356</f>
        <v>-0.018290019441234</v>
      </c>
    </row>
    <row r="357" customFormat="false" ht="15" hidden="false" customHeight="false" outlineLevel="0" collapsed="false">
      <c r="A357" s="22" t="n">
        <v>45895</v>
      </c>
      <c r="B357" s="23" t="n">
        <v>181.528221</v>
      </c>
      <c r="C357" s="23" t="n">
        <v>639.734</v>
      </c>
      <c r="D357" s="23" t="n">
        <v>570.491813</v>
      </c>
      <c r="E357" s="23" t="n">
        <v>166.62</v>
      </c>
      <c r="G357" s="25" t="n">
        <f aca="false">(B357-B356)/B356</f>
        <v>0.010900395246827</v>
      </c>
      <c r="H357" s="25" t="n">
        <f aca="false">(C357-C356)/C356</f>
        <v>0.0041879491292896</v>
      </c>
      <c r="I357" s="25" t="n">
        <f aca="false">(D357-D356)/D356</f>
        <v>0.00401528987461969</v>
      </c>
      <c r="J357" s="25" t="n">
        <f aca="false">(E357-E356)/E356</f>
        <v>0.0199559255631733</v>
      </c>
      <c r="L357" s="24" t="n">
        <f aca="false">MAX($B$2:B357)</f>
        <v>182.916372</v>
      </c>
      <c r="M357" s="25" t="n">
        <f aca="false">(B357-L357)/L357</f>
        <v>-0.00758899263538856</v>
      </c>
    </row>
    <row r="358" customFormat="false" ht="15" hidden="false" customHeight="false" outlineLevel="0" collapsed="false">
      <c r="A358" s="22" t="n">
        <v>45896</v>
      </c>
      <c r="B358" s="23" t="n">
        <v>181.358447</v>
      </c>
      <c r="C358" s="23" t="n">
        <v>641.191</v>
      </c>
      <c r="D358" s="23" t="n">
        <v>571.368557</v>
      </c>
      <c r="E358" s="23" t="n">
        <v>167.13</v>
      </c>
      <c r="G358" s="25" t="n">
        <f aca="false">(B358-B357)/B357</f>
        <v>-0.000935248519843037</v>
      </c>
      <c r="H358" s="25" t="n">
        <f aca="false">(C358-C357)/C357</f>
        <v>0.0022775090897154</v>
      </c>
      <c r="I358" s="25" t="n">
        <f aca="false">(D358-D357)/D357</f>
        <v>0.00153682135312261</v>
      </c>
      <c r="J358" s="25" t="n">
        <f aca="false">(E358-E357)/E357</f>
        <v>0.00306085703997114</v>
      </c>
      <c r="L358" s="24" t="n">
        <f aca="false">MAX($B$2:B358)</f>
        <v>182.916372</v>
      </c>
      <c r="M358" s="25" t="n">
        <f aca="false">(B358-L358)/L358</f>
        <v>-0.00851714356110225</v>
      </c>
    </row>
    <row r="359" customFormat="false" ht="15" hidden="false" customHeight="false" outlineLevel="0" collapsed="false">
      <c r="A359" s="22" t="n">
        <v>45897</v>
      </c>
      <c r="B359" s="23" t="n">
        <v>179.930349</v>
      </c>
      <c r="C359" s="23" t="n">
        <v>643.462</v>
      </c>
      <c r="D359" s="23" t="n">
        <v>574.945277</v>
      </c>
      <c r="E359" s="23" t="n">
        <v>168.58</v>
      </c>
      <c r="G359" s="25" t="n">
        <f aca="false">(B359-B358)/B358</f>
        <v>-0.00787444987329432</v>
      </c>
      <c r="H359" s="25" t="n">
        <f aca="false">(C359-C358)/C358</f>
        <v>0.0035418463453167</v>
      </c>
      <c r="I359" s="25" t="n">
        <f aca="false">(D359-D358)/D358</f>
        <v>0.00625991744939514</v>
      </c>
      <c r="J359" s="25" t="n">
        <f aca="false">(E359-E358)/E358</f>
        <v>0.00867588105067921</v>
      </c>
      <c r="L359" s="24" t="n">
        <f aca="false">MAX($B$2:B359)</f>
        <v>182.916372</v>
      </c>
      <c r="M359" s="25" t="n">
        <f aca="false">(B359-L359)/L359</f>
        <v>-0.016324525614361</v>
      </c>
    </row>
    <row r="360" customFormat="false" ht="15" hidden="false" customHeight="false" outlineLevel="0" collapsed="false">
      <c r="A360" s="22" t="n">
        <v>45898</v>
      </c>
      <c r="B360" s="23" t="n">
        <v>173.948317</v>
      </c>
      <c r="C360" s="23" t="n">
        <v>639.624</v>
      </c>
      <c r="D360" s="23" t="n">
        <v>568.289988</v>
      </c>
      <c r="E360" s="23" t="n">
        <v>162.63</v>
      </c>
      <c r="G360" s="25" t="n">
        <f aca="false">(B360-B359)/B359</f>
        <v>-0.0332463757962255</v>
      </c>
      <c r="H360" s="25" t="n">
        <f aca="false">(C360-C359)/C359</f>
        <v>-0.00596461018677088</v>
      </c>
      <c r="I360" s="25" t="n">
        <f aca="false">(D360-D359)/D359</f>
        <v>-0.0115755172991882</v>
      </c>
      <c r="J360" s="25" t="n">
        <f aca="false">(E360-E359)/E359</f>
        <v>-0.0352948155178551</v>
      </c>
      <c r="L360" s="24" t="n">
        <f aca="false">MAX($B$2:B360)</f>
        <v>182.916372</v>
      </c>
      <c r="M360" s="25" t="n">
        <f aca="false">(B360-L360)/L360</f>
        <v>-0.0490281700973163</v>
      </c>
    </row>
    <row r="361" customFormat="false" ht="15" hidden="false" customHeight="false" outlineLevel="0" collapsed="false">
      <c r="A361" s="22" t="n">
        <v>45902</v>
      </c>
      <c r="B361" s="23" t="n">
        <v>170.552839</v>
      </c>
      <c r="C361" s="23" t="n">
        <v>634.885</v>
      </c>
      <c r="D361" s="23" t="n">
        <v>563.52767</v>
      </c>
      <c r="E361" s="23" t="n">
        <v>162.32</v>
      </c>
      <c r="G361" s="25" t="n">
        <f aca="false">(B361-B360)/B360</f>
        <v>-0.0195200393919304</v>
      </c>
      <c r="H361" s="25" t="n">
        <f aca="false">(C361-C360)/C360</f>
        <v>-0.00740904031118287</v>
      </c>
      <c r="I361" s="25" t="n">
        <f aca="false">(D361-D360)/D360</f>
        <v>-0.00838008428893886</v>
      </c>
      <c r="J361" s="25" t="n">
        <f aca="false">(E361-E360)/E360</f>
        <v>-0.00190616737379329</v>
      </c>
      <c r="L361" s="24" t="n">
        <f aca="false">MAX($B$2:B361)</f>
        <v>182.916372</v>
      </c>
      <c r="M361" s="25" t="n">
        <f aca="false">(B361-L361)/L361</f>
        <v>-0.0675911776776329</v>
      </c>
    </row>
    <row r="362" customFormat="false" ht="15" hidden="false" customHeight="false" outlineLevel="0" collapsed="false">
      <c r="A362" s="22" t="n">
        <v>45903</v>
      </c>
      <c r="B362" s="23" t="n">
        <v>170.393052</v>
      </c>
      <c r="C362" s="23" t="n">
        <v>638.325</v>
      </c>
      <c r="D362" s="23" t="n">
        <v>567.961208</v>
      </c>
      <c r="E362" s="23" t="n">
        <v>162.13</v>
      </c>
      <c r="G362" s="25" t="n">
        <f aca="false">(B362-B361)/B361</f>
        <v>-0.000936876811531671</v>
      </c>
      <c r="H362" s="25" t="n">
        <f aca="false">(C362-C361)/C361</f>
        <v>0.00541830410231783</v>
      </c>
      <c r="I362" s="25" t="n">
        <f aca="false">(D362-D361)/D361</f>
        <v>0.0078674717072901</v>
      </c>
      <c r="J362" s="25" t="n">
        <f aca="false">(E362-E361)/E361</f>
        <v>-0.00117052735337603</v>
      </c>
      <c r="L362" s="24" t="n">
        <f aca="false">MAX($B$2:B362)</f>
        <v>182.916372</v>
      </c>
      <c r="M362" s="25" t="n">
        <f aca="false">(B362-L362)/L362</f>
        <v>-0.0684647298821342</v>
      </c>
    </row>
    <row r="363" customFormat="false" ht="15" hidden="false" customHeight="false" outlineLevel="0" collapsed="false">
      <c r="A363" s="22" t="n">
        <v>45904</v>
      </c>
      <c r="B363" s="23" t="n">
        <v>171.431669</v>
      </c>
      <c r="C363" s="23" t="n">
        <v>643.66</v>
      </c>
      <c r="D363" s="23" t="n">
        <v>573.102121</v>
      </c>
      <c r="E363" s="23" t="n">
        <v>161.79</v>
      </c>
      <c r="G363" s="25" t="n">
        <f aca="false">(B363-B362)/B362</f>
        <v>0.00609541872634565</v>
      </c>
      <c r="H363" s="25" t="n">
        <f aca="false">(C363-C362)/C362</f>
        <v>0.00835781145967951</v>
      </c>
      <c r="I363" s="25" t="n">
        <f aca="false">(D363-D362)/D362</f>
        <v>0.00905152134967632</v>
      </c>
      <c r="J363" s="25" t="n">
        <f aca="false">(E363-E362)/E362</f>
        <v>-0.00209708258804665</v>
      </c>
      <c r="L363" s="24" t="n">
        <f aca="false">MAX($B$2:B363)</f>
        <v>182.916372</v>
      </c>
      <c r="M363" s="25" t="n">
        <f aca="false">(B363-L363)/L363</f>
        <v>-0.0627866323524064</v>
      </c>
    </row>
    <row r="364" customFormat="false" ht="15" hidden="false" customHeight="false" outlineLevel="0" collapsed="false">
      <c r="A364" s="22" t="n">
        <v>45905</v>
      </c>
      <c r="B364" s="23" t="n">
        <v>166.79784</v>
      </c>
      <c r="C364" s="23" t="n">
        <v>641.796</v>
      </c>
      <c r="D364" s="23" t="n">
        <v>573.92905</v>
      </c>
      <c r="E364" s="23" t="n">
        <v>151.14</v>
      </c>
      <c r="G364" s="25" t="n">
        <f aca="false">(B364-B363)/B363</f>
        <v>-0.0270301807538255</v>
      </c>
      <c r="H364" s="25" t="n">
        <f aca="false">(C364-C363)/C363</f>
        <v>-0.00289593884970313</v>
      </c>
      <c r="I364" s="25" t="n">
        <f aca="false">(D364-D363)/D363</f>
        <v>0.00144289991207335</v>
      </c>
      <c r="J364" s="25" t="n">
        <f aca="false">(E364-E363)/E363</f>
        <v>-0.0658260708325608</v>
      </c>
      <c r="L364" s="24" t="n">
        <f aca="false">MAX($B$2:B364)</f>
        <v>182.916372</v>
      </c>
      <c r="M364" s="25" t="n">
        <f aca="false">(B364-L364)/L364</f>
        <v>-0.0881196790848224</v>
      </c>
    </row>
    <row r="365" customFormat="false" ht="15" hidden="false" customHeight="false" outlineLevel="0" collapsed="false">
      <c r="A365" s="22" t="n">
        <v>45908</v>
      </c>
      <c r="B365" s="23" t="n">
        <v>168.086125</v>
      </c>
      <c r="C365" s="23" t="n">
        <v>643.373</v>
      </c>
      <c r="D365" s="23" t="n">
        <v>576.728656</v>
      </c>
      <c r="E365" s="23" t="n">
        <v>151.41</v>
      </c>
      <c r="G365" s="25" t="n">
        <f aca="false">(B365-B364)/B364</f>
        <v>0.00772363119330563</v>
      </c>
      <c r="H365" s="25" t="n">
        <f aca="false">(C365-C364)/C364</f>
        <v>0.00245716707489607</v>
      </c>
      <c r="I365" s="25" t="n">
        <f aca="false">(D365-D364)/D364</f>
        <v>0.00487796531644467</v>
      </c>
      <c r="J365" s="25" t="n">
        <f aca="false">(E365-E364)/E364</f>
        <v>0.00178642318380316</v>
      </c>
      <c r="L365" s="24" t="n">
        <f aca="false">MAX($B$2:B365)</f>
        <v>182.916372</v>
      </c>
      <c r="M365" s="25" t="n">
        <f aca="false">(B365-L365)/L365</f>
        <v>-0.0810766517936404</v>
      </c>
    </row>
    <row r="366" customFormat="false" ht="15" hidden="false" customHeight="false" outlineLevel="0" collapsed="false">
      <c r="A366" s="22" t="n">
        <v>45909</v>
      </c>
      <c r="B366" s="23" t="n">
        <v>170.532866</v>
      </c>
      <c r="C366" s="23" t="n">
        <v>644.86</v>
      </c>
      <c r="D366" s="23" t="n">
        <v>578.362589</v>
      </c>
      <c r="E366" s="23" t="n">
        <v>155.82</v>
      </c>
      <c r="G366" s="25" t="n">
        <f aca="false">(B366-B365)/B365</f>
        <v>0.0145564721656829</v>
      </c>
      <c r="H366" s="25" t="n">
        <f aca="false">(C366-C365)/C365</f>
        <v>0.00231125645620809</v>
      </c>
      <c r="I366" s="25" t="n">
        <f aca="false">(D366-D365)/D365</f>
        <v>0.00283310527923543</v>
      </c>
      <c r="J366" s="25" t="n">
        <f aca="false">(E366-E365)/E365</f>
        <v>0.029126213592233</v>
      </c>
      <c r="L366" s="24" t="n">
        <f aca="false">MAX($B$2:B366)</f>
        <v>182.916372</v>
      </c>
      <c r="M366" s="25" t="n">
        <f aca="false">(B366-L366)/L366</f>
        <v>-0.0677003696530783</v>
      </c>
    </row>
    <row r="367" customFormat="false" ht="15" hidden="false" customHeight="false" outlineLevel="0" collapsed="false">
      <c r="A367" s="22" t="n">
        <v>45910</v>
      </c>
      <c r="B367" s="23" t="n">
        <v>177.094127</v>
      </c>
      <c r="C367" s="23" t="n">
        <v>646.724</v>
      </c>
      <c r="D367" s="23" t="n">
        <v>578.551886</v>
      </c>
      <c r="E367" s="23" t="n">
        <v>159.54</v>
      </c>
      <c r="G367" s="25" t="n">
        <f aca="false">(B367-B366)/B366</f>
        <v>0.0384750526622825</v>
      </c>
      <c r="H367" s="25" t="n">
        <f aca="false">(C367-C366)/C366</f>
        <v>0.00289054988679719</v>
      </c>
      <c r="I367" s="25" t="n">
        <f aca="false">(D367-D366)/D366</f>
        <v>0.000327298140647909</v>
      </c>
      <c r="J367" s="25" t="n">
        <f aca="false">(E367-E366)/E366</f>
        <v>0.0238737004235656</v>
      </c>
      <c r="L367" s="24" t="n">
        <f aca="false">MAX($B$2:B367)</f>
        <v>182.916372</v>
      </c>
      <c r="M367" s="25" t="n">
        <f aca="false">(B367-L367)/L367</f>
        <v>-0.0318300922784539</v>
      </c>
    </row>
    <row r="368" customFormat="false" ht="15" hidden="false" customHeight="false" outlineLevel="0" collapsed="false">
      <c r="A368" s="22" t="n">
        <v>45911</v>
      </c>
      <c r="B368" s="23" t="n">
        <v>176.944318</v>
      </c>
      <c r="C368" s="23" t="n">
        <v>652.099</v>
      </c>
      <c r="D368" s="23" t="n">
        <v>581.919383</v>
      </c>
      <c r="E368" s="23" t="n">
        <v>155.67</v>
      </c>
      <c r="G368" s="25" t="n">
        <f aca="false">(B368-B367)/B367</f>
        <v>-0.000845928673851371</v>
      </c>
      <c r="H368" s="25" t="n">
        <f aca="false">(C368-C367)/C367</f>
        <v>0.00831111880802321</v>
      </c>
      <c r="I368" s="25" t="n">
        <f aca="false">(D368-D367)/D367</f>
        <v>0.00582056178795357</v>
      </c>
      <c r="J368" s="25" t="n">
        <f aca="false">(E368-E367)/E367</f>
        <v>-0.0242572395637458</v>
      </c>
      <c r="L368" s="24" t="n">
        <f aca="false">MAX($B$2:B368)</f>
        <v>182.916372</v>
      </c>
      <c r="M368" s="25" t="n">
        <f aca="false">(B368-L368)/L368</f>
        <v>-0.0326490949645556</v>
      </c>
    </row>
    <row r="369" customFormat="false" ht="15" hidden="false" customHeight="false" outlineLevel="0" collapsed="false">
      <c r="A369" s="22" t="n">
        <v>45912</v>
      </c>
      <c r="B369" s="23" t="n">
        <v>177.59349</v>
      </c>
      <c r="C369" s="23" t="n">
        <v>651.88</v>
      </c>
      <c r="D369" s="23" t="n">
        <v>584.489839</v>
      </c>
      <c r="E369" s="23" t="n">
        <v>158.57</v>
      </c>
      <c r="G369" s="25" t="n">
        <f aca="false">(B369-B368)/B368</f>
        <v>0.00366879257462222</v>
      </c>
      <c r="H369" s="25" t="n">
        <f aca="false">(C369-C368)/C368</f>
        <v>-0.000335838576657917</v>
      </c>
      <c r="I369" s="25" t="n">
        <f aca="false">(D369-D368)/D368</f>
        <v>0.00441720292379387</v>
      </c>
      <c r="J369" s="25" t="n">
        <f aca="false">(E369-E368)/E368</f>
        <v>0.0186291514100341</v>
      </c>
      <c r="L369" s="24" t="n">
        <f aca="false">MAX($B$2:B369)</f>
        <v>182.916372</v>
      </c>
      <c r="M369" s="25" t="n">
        <f aca="false">(B369-L369)/L369</f>
        <v>-0.0291000851471075</v>
      </c>
    </row>
    <row r="370" customFormat="false" ht="15" hidden="false" customHeight="false" outlineLevel="0" collapsed="false">
      <c r="A370" s="22" t="n">
        <v>45915</v>
      </c>
      <c r="B370" s="23" t="n">
        <v>177.523579</v>
      </c>
      <c r="C370" s="23" t="n">
        <v>655.351</v>
      </c>
      <c r="D370" s="23" t="n">
        <v>589.491269</v>
      </c>
      <c r="E370" s="23" t="n">
        <v>161.16</v>
      </c>
      <c r="G370" s="25" t="n">
        <f aca="false">(B370-B369)/B369</f>
        <v>-0.000393657447691301</v>
      </c>
      <c r="H370" s="25" t="n">
        <f aca="false">(C370-C369)/C369</f>
        <v>0.00532459961956189</v>
      </c>
      <c r="I370" s="25" t="n">
        <f aca="false">(D370-D369)/D369</f>
        <v>0.00855691522124139</v>
      </c>
      <c r="J370" s="25" t="n">
        <f aca="false">(E370-E369)/E369</f>
        <v>0.0163334804818062</v>
      </c>
      <c r="L370" s="24" t="n">
        <f aca="false">MAX($B$2:B370)</f>
        <v>182.916372</v>
      </c>
      <c r="M370" s="25" t="n">
        <f aca="false">(B370-L370)/L370</f>
        <v>-0.0294822871295522</v>
      </c>
    </row>
    <row r="371" customFormat="false" ht="15" hidden="false" customHeight="false" outlineLevel="0" collapsed="false">
      <c r="A371" s="22" t="n">
        <v>45916</v>
      </c>
      <c r="B371" s="23" t="n">
        <v>174.657235</v>
      </c>
      <c r="C371" s="23" t="n">
        <v>654.449</v>
      </c>
      <c r="D371" s="23" t="n">
        <v>588.993119</v>
      </c>
      <c r="E371" s="23" t="n">
        <v>160.46</v>
      </c>
      <c r="G371" s="25" t="n">
        <f aca="false">(B371-B370)/B370</f>
        <v>-0.0161462720397273</v>
      </c>
      <c r="H371" s="25" t="n">
        <f aca="false">(C371-C370)/C370</f>
        <v>-0.00137636167488879</v>
      </c>
      <c r="I371" s="25" t="n">
        <f aca="false">(D371-D370)/D370</f>
        <v>-0.000845050683863495</v>
      </c>
      <c r="J371" s="25" t="n">
        <f aca="false">(E371-E370)/E370</f>
        <v>-0.00434350955572095</v>
      </c>
      <c r="L371" s="24" t="n">
        <f aca="false">MAX($B$2:B371)</f>
        <v>182.916372</v>
      </c>
      <c r="M371" s="25" t="n">
        <f aca="false">(B371-L371)/L371</f>
        <v>-0.0451525301409324</v>
      </c>
    </row>
    <row r="372" customFormat="false" ht="15" hidden="false" customHeight="false" outlineLevel="0" collapsed="false">
      <c r="A372" s="22" t="n">
        <v>45917</v>
      </c>
      <c r="B372" s="23" t="n">
        <v>170.073082</v>
      </c>
      <c r="C372" s="23" t="n">
        <v>653.636</v>
      </c>
      <c r="D372" s="23" t="n">
        <v>587.817484</v>
      </c>
      <c r="E372" s="23" t="n">
        <v>159.16</v>
      </c>
      <c r="G372" s="25" t="n">
        <f aca="false">(B372-B371)/B371</f>
        <v>-0.0262465680279433</v>
      </c>
      <c r="H372" s="25" t="n">
        <f aca="false">(C372-C371)/C371</f>
        <v>-0.00124226639508959</v>
      </c>
      <c r="I372" s="25" t="n">
        <f aca="false">(D372-D371)/D371</f>
        <v>-0.0019960080382534</v>
      </c>
      <c r="J372" s="25" t="n">
        <f aca="false">(E372-E371)/E371</f>
        <v>-0.00810170759067688</v>
      </c>
      <c r="L372" s="24" t="n">
        <f aca="false">MAX($B$2:B372)</f>
        <v>182.916372</v>
      </c>
      <c r="M372" s="25" t="n">
        <f aca="false">(B372-L372)/L372</f>
        <v>-0.070213999214898</v>
      </c>
    </row>
    <row r="373" customFormat="false" ht="15" hidden="false" customHeight="false" outlineLevel="0" collapsed="false">
      <c r="A373" s="22" t="n">
        <v>45918</v>
      </c>
      <c r="B373" s="23" t="n">
        <v>176.015502</v>
      </c>
      <c r="C373" s="23" t="n">
        <v>656.69</v>
      </c>
      <c r="D373" s="23" t="n">
        <v>593.117804</v>
      </c>
      <c r="E373" s="23" t="n">
        <v>157.92</v>
      </c>
      <c r="G373" s="25" t="n">
        <f aca="false">(B373-B372)/B372</f>
        <v>0.0349403910961054</v>
      </c>
      <c r="H373" s="25" t="n">
        <f aca="false">(C373-C372)/C372</f>
        <v>0.00467232526972212</v>
      </c>
      <c r="I373" s="25" t="n">
        <f aca="false">(D373-D372)/D372</f>
        <v>0.00901694853295644</v>
      </c>
      <c r="J373" s="25" t="n">
        <f aca="false">(E373-E372)/E372</f>
        <v>-0.00779090223674296</v>
      </c>
      <c r="L373" s="24" t="n">
        <f aca="false">MAX($B$2:B373)</f>
        <v>182.916372</v>
      </c>
      <c r="M373" s="25" t="n">
        <f aca="false">(B373-L373)/L373</f>
        <v>-0.0377269127117828</v>
      </c>
    </row>
    <row r="374" customFormat="false" ht="15" hidden="false" customHeight="false" outlineLevel="0" collapsed="false">
      <c r="A374" s="22" t="n">
        <v>45919</v>
      </c>
      <c r="B374" s="23" t="n">
        <v>176.444955</v>
      </c>
      <c r="C374" s="23" t="n">
        <v>659.933</v>
      </c>
      <c r="D374" s="23" t="n">
        <v>597.132896</v>
      </c>
      <c r="E374" s="23" t="n">
        <v>157.39</v>
      </c>
      <c r="G374" s="25" t="n">
        <f aca="false">(B374-B373)/B373</f>
        <v>0.00243985896196799</v>
      </c>
      <c r="H374" s="25" t="n">
        <f aca="false">(C374-C373)/C373</f>
        <v>0.00493840320394697</v>
      </c>
      <c r="I374" s="25" t="n">
        <f aca="false">(D374-D373)/D373</f>
        <v>0.00676946800942766</v>
      </c>
      <c r="J374" s="25" t="n">
        <f aca="false">(E374-E373)/E373</f>
        <v>-0.00335612968591693</v>
      </c>
      <c r="L374" s="24" t="n">
        <f aca="false">MAX($B$2:B374)</f>
        <v>182.916372</v>
      </c>
      <c r="M374" s="25" t="n">
        <f aca="false">(B374-L374)/L374</f>
        <v>-0.0353791020959021</v>
      </c>
    </row>
    <row r="375" customFormat="false" ht="15" hidden="false" customHeight="false" outlineLevel="0" collapsed="false">
      <c r="A375" s="22" t="n">
        <v>45922</v>
      </c>
      <c r="B375" s="23" t="n">
        <v>183.376114</v>
      </c>
      <c r="C375" s="23" t="n">
        <v>663.055</v>
      </c>
      <c r="D375" s="23" t="n">
        <v>600.66783</v>
      </c>
      <c r="E375" s="23" t="n">
        <v>159.79</v>
      </c>
      <c r="G375" s="25" t="n">
        <f aca="false">(B375-B374)/B374</f>
        <v>0.0392822736133204</v>
      </c>
      <c r="H375" s="25" t="n">
        <f aca="false">(C375-C374)/C374</f>
        <v>0.00473078327648406</v>
      </c>
      <c r="I375" s="25" t="n">
        <f aca="false">(D375-D374)/D374</f>
        <v>0.00591984468395461</v>
      </c>
      <c r="J375" s="25" t="n">
        <f aca="false">(E375-E374)/E374</f>
        <v>0.0152487451553466</v>
      </c>
      <c r="L375" s="24" t="n">
        <f aca="false">MAX($B$2:B375)</f>
        <v>183.376114</v>
      </c>
      <c r="M375" s="25" t="n">
        <f aca="false">(B375-L375)/L375</f>
        <v>0</v>
      </c>
    </row>
    <row r="376" customFormat="false" ht="15" hidden="false" customHeight="false" outlineLevel="0" collapsed="false">
      <c r="A376" s="22" t="n">
        <v>45923</v>
      </c>
      <c r="B376" s="23" t="n">
        <v>178.202713</v>
      </c>
      <c r="C376" s="23" t="n">
        <v>659.446</v>
      </c>
      <c r="D376" s="23" t="n">
        <v>596.678007</v>
      </c>
      <c r="E376" s="23" t="n">
        <v>160.9</v>
      </c>
      <c r="G376" s="25" t="n">
        <f aca="false">(B376-B375)/B375</f>
        <v>-0.0282119676720819</v>
      </c>
      <c r="H376" s="25" t="n">
        <f aca="false">(C376-C375)/C375</f>
        <v>-0.00544298738415354</v>
      </c>
      <c r="I376" s="25" t="n">
        <f aca="false">(D376-D375)/D375</f>
        <v>-0.00664231177487897</v>
      </c>
      <c r="J376" s="25" t="n">
        <f aca="false">(E376-E375)/E375</f>
        <v>0.00694661743538403</v>
      </c>
      <c r="L376" s="24" t="n">
        <f aca="false">MAX($B$2:B376)</f>
        <v>183.376114</v>
      </c>
      <c r="M376" s="25" t="n">
        <f aca="false">(B376-L376)/L376</f>
        <v>-0.0282119676720819</v>
      </c>
    </row>
    <row r="377" customFormat="false" ht="15" hidden="false" customHeight="false" outlineLevel="0" collapsed="false">
      <c r="A377" s="22" t="n">
        <v>45924</v>
      </c>
      <c r="B377" s="23" t="n">
        <v>176.744573</v>
      </c>
      <c r="C377" s="23" t="n">
        <v>657.348</v>
      </c>
      <c r="D377" s="23" t="n">
        <v>594.58335</v>
      </c>
      <c r="E377" s="23" t="n">
        <v>160.88</v>
      </c>
      <c r="G377" s="25" t="n">
        <f aca="false">(B377-B376)/B376</f>
        <v>-0.00818247924205276</v>
      </c>
      <c r="H377" s="25" t="n">
        <f aca="false">(C377-C376)/C376</f>
        <v>-0.00318145837566695</v>
      </c>
      <c r="I377" s="25" t="n">
        <f aca="false">(D377-D376)/D376</f>
        <v>-0.00351053160234878</v>
      </c>
      <c r="J377" s="25" t="n">
        <f aca="false">(E377-E376)/E376</f>
        <v>-0.000124300807955315</v>
      </c>
      <c r="L377" s="24" t="n">
        <f aca="false">MAX($B$2:B377)</f>
        <v>183.376114</v>
      </c>
      <c r="M377" s="25" t="n">
        <f aca="false">(B377-L377)/L377</f>
        <v>-0.0361636030742804</v>
      </c>
    </row>
    <row r="378" customFormat="false" ht="15" hidden="false" customHeight="false" outlineLevel="0" collapsed="false">
      <c r="A378" s="22" t="n">
        <v>45925</v>
      </c>
      <c r="B378" s="23" t="n">
        <v>177.463655</v>
      </c>
      <c r="C378" s="23" t="n">
        <v>654.315</v>
      </c>
      <c r="D378" s="23" t="n">
        <v>592.019889</v>
      </c>
      <c r="E378" s="23" t="n">
        <v>161.27</v>
      </c>
      <c r="G378" s="25" t="n">
        <f aca="false">(B378-B377)/B377</f>
        <v>0.00406848135586028</v>
      </c>
      <c r="H378" s="25" t="n">
        <f aca="false">(C378-C377)/C377</f>
        <v>-0.00461399441391759</v>
      </c>
      <c r="I378" s="25" t="n">
        <f aca="false">(D378-D377)/D377</f>
        <v>-0.00431135685181894</v>
      </c>
      <c r="J378" s="25" t="n">
        <f aca="false">(E378-E377)/E377</f>
        <v>0.00242416708105429</v>
      </c>
      <c r="L378" s="24" t="n">
        <f aca="false">MAX($B$2:B378)</f>
        <v>183.376114</v>
      </c>
      <c r="M378" s="25" t="n">
        <f aca="false">(B378-L378)/L378</f>
        <v>-0.0322422526632886</v>
      </c>
    </row>
    <row r="379" customFormat="false" ht="15" hidden="false" customHeight="false" outlineLevel="0" collapsed="false">
      <c r="A379" s="22" t="n">
        <v>45926</v>
      </c>
      <c r="B379" s="23" t="n">
        <v>177.963019</v>
      </c>
      <c r="C379" s="23" t="n">
        <v>658.064</v>
      </c>
      <c r="D379" s="23" t="n">
        <v>594.453681</v>
      </c>
      <c r="E379" s="23" t="n">
        <v>159.46</v>
      </c>
      <c r="G379" s="25" t="n">
        <f aca="false">(B379-B378)/B378</f>
        <v>0.00281389448447917</v>
      </c>
      <c r="H379" s="25" t="n">
        <f aca="false">(C379-C378)/C378</f>
        <v>0.00572965620534438</v>
      </c>
      <c r="I379" s="25" t="n">
        <f aca="false">(D379-D378)/D378</f>
        <v>0.00411099702091246</v>
      </c>
      <c r="J379" s="25" t="n">
        <f aca="false">(E379-E378)/E378</f>
        <v>-0.0112234141501829</v>
      </c>
      <c r="L379" s="24" t="n">
        <f aca="false">MAX($B$2:B379)</f>
        <v>183.376114</v>
      </c>
      <c r="M379" s="25" t="n">
        <f aca="false">(B379-L379)/L379</f>
        <v>-0.0295190844757458</v>
      </c>
    </row>
    <row r="380" customFormat="false" ht="15" hidden="false" customHeight="false" outlineLevel="0" collapsed="false">
      <c r="A380" s="22" t="n">
        <v>45929</v>
      </c>
      <c r="B380" s="23" t="n">
        <v>181.618356</v>
      </c>
      <c r="C380" s="23" t="n">
        <v>659.913</v>
      </c>
      <c r="D380" s="23" t="n">
        <v>597.206658</v>
      </c>
      <c r="E380" s="23" t="n">
        <v>161.36</v>
      </c>
      <c r="G380" s="25" t="n">
        <f aca="false">(B380-B379)/B379</f>
        <v>0.0205398684543557</v>
      </c>
      <c r="H380" s="25" t="n">
        <f aca="false">(C380-C379)/C379</f>
        <v>0.00280975710569192</v>
      </c>
      <c r="I380" s="25" t="n">
        <f aca="false">(D380-D379)/D379</f>
        <v>0.00463110430297762</v>
      </c>
      <c r="J380" s="25" t="n">
        <f aca="false">(E380-E379)/E379</f>
        <v>0.0119152138467328</v>
      </c>
      <c r="L380" s="24" t="n">
        <f aca="false">MAX($B$2:B380)</f>
        <v>183.376114</v>
      </c>
      <c r="M380" s="25" t="n">
        <f aca="false">(B380-L380)/L380</f>
        <v>-0.00958553413341497</v>
      </c>
    </row>
    <row r="381" customFormat="false" ht="15" hidden="false" customHeight="false" outlineLevel="0" collapsed="false">
      <c r="A381" s="22" t="n">
        <v>45930</v>
      </c>
      <c r="B381" s="23" t="n">
        <v>186.342331</v>
      </c>
      <c r="C381" s="23" t="n">
        <v>662.399</v>
      </c>
      <c r="D381" s="23" t="n">
        <v>598.842486</v>
      </c>
      <c r="E381" s="23" t="n">
        <v>161.79</v>
      </c>
      <c r="G381" s="25" t="n">
        <f aca="false">(B381-B380)/B380</f>
        <v>0.0260104490759733</v>
      </c>
      <c r="H381" s="25" t="n">
        <f aca="false">(C381-C380)/C380</f>
        <v>0.00376716324727652</v>
      </c>
      <c r="I381" s="25" t="n">
        <f aca="false">(D381-D380)/D380</f>
        <v>0.00273913222179794</v>
      </c>
      <c r="J381" s="25" t="n">
        <f aca="false">(E381-E380)/E380</f>
        <v>0.00266484878532461</v>
      </c>
      <c r="L381" s="24" t="n">
        <f aca="false">MAX($B$2:B381)</f>
        <v>186.342331</v>
      </c>
      <c r="M381" s="25" t="n">
        <f aca="false">(B381-L381)/L381</f>
        <v>0</v>
      </c>
    </row>
    <row r="382" customFormat="false" ht="15" hidden="false" customHeight="false" outlineLevel="0" collapsed="false">
      <c r="A382" s="22" t="n">
        <v>45931</v>
      </c>
      <c r="B382" s="23" t="n">
        <v>187.00149</v>
      </c>
      <c r="C382" s="23" t="n">
        <v>664.656</v>
      </c>
      <c r="D382" s="23" t="n">
        <v>601.715158</v>
      </c>
      <c r="E382" s="23" t="n">
        <v>164.01</v>
      </c>
      <c r="G382" s="25" t="n">
        <f aca="false">(B382-B381)/B381</f>
        <v>0.00353735512732203</v>
      </c>
      <c r="H382" s="25" t="n">
        <f aca="false">(C382-C381)/C381</f>
        <v>0.00340731190717369</v>
      </c>
      <c r="I382" s="25" t="n">
        <f aca="false">(D382-D381)/D381</f>
        <v>0.00479704107032908</v>
      </c>
      <c r="J382" s="25" t="n">
        <f aca="false">(E382-E381)/E381</f>
        <v>0.0137214908214352</v>
      </c>
      <c r="L382" s="24" t="n">
        <f aca="false">MAX($B$2:B382)</f>
        <v>187.00149</v>
      </c>
      <c r="M382" s="25" t="n">
        <f aca="false">(B382-L382)/L382</f>
        <v>0</v>
      </c>
    </row>
    <row r="383" customFormat="false" ht="15" hidden="false" customHeight="false" outlineLevel="0" collapsed="false">
      <c r="A383" s="22" t="n">
        <v>45932</v>
      </c>
      <c r="B383" s="23" t="n">
        <v>188.649389</v>
      </c>
      <c r="C383" s="23" t="n">
        <v>665.422</v>
      </c>
      <c r="D383" s="23" t="n">
        <v>604.188848</v>
      </c>
      <c r="E383" s="23" t="n">
        <v>169.73</v>
      </c>
      <c r="G383" s="25" t="n">
        <f aca="false">(B383-B382)/B382</f>
        <v>0.00881222390260112</v>
      </c>
      <c r="H383" s="25" t="n">
        <f aca="false">(C383-C382)/C382</f>
        <v>0.00115247586721564</v>
      </c>
      <c r="I383" s="25" t="n">
        <f aca="false">(D383-D382)/D382</f>
        <v>0.00411106479055998</v>
      </c>
      <c r="J383" s="25" t="n">
        <f aca="false">(E383-E382)/E382</f>
        <v>0.0348759221998659</v>
      </c>
      <c r="L383" s="24" t="n">
        <f aca="false">MAX($B$2:B383)</f>
        <v>188.649389</v>
      </c>
      <c r="M383" s="25" t="n">
        <f aca="false">(B383-L383)/L383</f>
        <v>0</v>
      </c>
    </row>
    <row r="384" customFormat="false" ht="15" hidden="false" customHeight="false" outlineLevel="0" collapsed="false">
      <c r="A384" s="22" t="n">
        <v>45933</v>
      </c>
      <c r="B384" s="23" t="n">
        <v>187.381006</v>
      </c>
      <c r="C384" s="23" t="n">
        <v>665.412</v>
      </c>
      <c r="D384" s="23" t="n">
        <v>601.645336</v>
      </c>
      <c r="E384" s="23" t="n">
        <v>164.67</v>
      </c>
      <c r="G384" s="25" t="n">
        <f aca="false">(B384-B383)/B383</f>
        <v>-0.00672349381423122</v>
      </c>
      <c r="H384" s="25" t="n">
        <f aca="false">(C384-C383)/C383</f>
        <v>-1.50280573831206E-005</v>
      </c>
      <c r="I384" s="25" t="n">
        <f aca="false">(D384-D383)/D383</f>
        <v>-0.00420979633837923</v>
      </c>
      <c r="J384" s="25" t="n">
        <f aca="false">(E384-E383)/E383</f>
        <v>-0.0298120544394038</v>
      </c>
      <c r="L384" s="24" t="n">
        <f aca="false">MAX($B$2:B384)</f>
        <v>188.649389</v>
      </c>
      <c r="M384" s="25" t="n">
        <f aca="false">(B384-L384)/L384</f>
        <v>-0.00672349381423122</v>
      </c>
    </row>
    <row r="385" customFormat="false" ht="15" hidden="false" customHeight="false" outlineLevel="0" collapsed="false">
      <c r="A385" s="22" t="n">
        <v>45936</v>
      </c>
      <c r="B385" s="23" t="n">
        <v>185.303656</v>
      </c>
      <c r="C385" s="23" t="n">
        <v>667.798</v>
      </c>
      <c r="D385" s="23" t="n">
        <v>606.163811</v>
      </c>
      <c r="E385" s="23" t="n">
        <v>203.71</v>
      </c>
      <c r="G385" s="25" t="n">
        <f aca="false">(B385-B384)/B384</f>
        <v>-0.0110862357095042</v>
      </c>
      <c r="H385" s="25" t="n">
        <f aca="false">(C385-C384)/C384</f>
        <v>0.00358574837844819</v>
      </c>
      <c r="I385" s="25" t="n">
        <f aca="false">(D385-D384)/D384</f>
        <v>0.00751019700416986</v>
      </c>
      <c r="J385" s="25" t="n">
        <f aca="false">(E385-E384)/E384</f>
        <v>0.237080221048157</v>
      </c>
      <c r="L385" s="24" t="n">
        <f aca="false">MAX($B$2:B385)</f>
        <v>188.649389</v>
      </c>
      <c r="M385" s="25" t="n">
        <f aca="false">(B385-L385)/L385</f>
        <v>-0.0177351912865195</v>
      </c>
    </row>
    <row r="386" customFormat="false" ht="15" hidden="false" customHeight="false" outlineLevel="0" collapsed="false">
      <c r="A386" s="22" t="n">
        <v>45937</v>
      </c>
      <c r="B386" s="23" t="n">
        <v>184.804293</v>
      </c>
      <c r="C386" s="23" t="n">
        <v>665.323</v>
      </c>
      <c r="D386" s="23" t="n">
        <v>602.971952</v>
      </c>
      <c r="E386" s="23" t="n">
        <v>211.51</v>
      </c>
      <c r="G386" s="25" t="n">
        <f aca="false">(B386-B385)/B385</f>
        <v>-0.00269483619902237</v>
      </c>
      <c r="H386" s="25" t="n">
        <f aca="false">(C386-C385)/C385</f>
        <v>-0.00370621056067856</v>
      </c>
      <c r="I386" s="25" t="n">
        <f aca="false">(D386-D385)/D385</f>
        <v>-0.00526567066868336</v>
      </c>
      <c r="J386" s="25" t="n">
        <f aca="false">(E386-E385)/E385</f>
        <v>0.0382897255902999</v>
      </c>
      <c r="L386" s="24" t="n">
        <f aca="false">MAX($B$2:B386)</f>
        <v>188.649389</v>
      </c>
      <c r="M386" s="25" t="n">
        <f aca="false">(B386-L386)/L386</f>
        <v>-0.0203822340500664</v>
      </c>
    </row>
    <row r="387" customFormat="false" ht="15" hidden="false" customHeight="false" outlineLevel="0" collapsed="false">
      <c r="A387" s="22" t="n">
        <v>45938</v>
      </c>
      <c r="B387" s="23" t="n">
        <v>188.869108</v>
      </c>
      <c r="C387" s="23" t="n">
        <v>669.29</v>
      </c>
      <c r="D387" s="23" t="n">
        <v>609.88432</v>
      </c>
      <c r="E387" s="23" t="n">
        <v>235.56</v>
      </c>
      <c r="G387" s="25" t="n">
        <f aca="false">(B387-B386)/B386</f>
        <v>0.021995241203623</v>
      </c>
      <c r="H387" s="25" t="n">
        <f aca="false">(C387-C386)/C386</f>
        <v>0.00596251745392837</v>
      </c>
      <c r="I387" s="25" t="n">
        <f aca="false">(D387-D386)/D386</f>
        <v>0.0114638300787829</v>
      </c>
      <c r="J387" s="25" t="n">
        <f aca="false">(E387-E386)/E386</f>
        <v>0.113706207744315</v>
      </c>
      <c r="L387" s="24" t="n">
        <f aca="false">MAX($B$2:B387)</f>
        <v>188.869108</v>
      </c>
      <c r="M387" s="25" t="n">
        <f aca="false">(B387-L387)/L387</f>
        <v>0</v>
      </c>
    </row>
    <row r="388" customFormat="false" ht="15" hidden="false" customHeight="false" outlineLevel="0" collapsed="false">
      <c r="A388" s="22" t="n">
        <v>45939</v>
      </c>
      <c r="B388" s="23" t="n">
        <v>192.324701</v>
      </c>
      <c r="C388" s="23" t="n">
        <v>667.351</v>
      </c>
      <c r="D388" s="23" t="n">
        <v>609.146203</v>
      </c>
      <c r="E388" s="23" t="n">
        <v>232.89</v>
      </c>
      <c r="G388" s="25" t="n">
        <f aca="false">(B388-B387)/B387</f>
        <v>0.0182962319068081</v>
      </c>
      <c r="H388" s="25" t="n">
        <f aca="false">(C388-C387)/C387</f>
        <v>-0.00289709991184683</v>
      </c>
      <c r="I388" s="25" t="n">
        <f aca="false">(D388-D387)/D387</f>
        <v>-0.00121025738126861</v>
      </c>
      <c r="J388" s="25" t="n">
        <f aca="false">(E388-E387)/E387</f>
        <v>-0.011334691798268</v>
      </c>
      <c r="L388" s="24" t="n">
        <f aca="false">MAX($B$2:B388)</f>
        <v>192.324701</v>
      </c>
      <c r="M388" s="25" t="n">
        <f aca="false">(B388-L388)/L388</f>
        <v>0</v>
      </c>
    </row>
    <row r="389" customFormat="false" ht="15" hidden="false" customHeight="false" outlineLevel="0" collapsed="false">
      <c r="A389" s="22" t="n">
        <v>45940</v>
      </c>
      <c r="B389" s="23" t="n">
        <v>182.926688</v>
      </c>
      <c r="C389" s="23" t="n">
        <v>649.314</v>
      </c>
      <c r="D389" s="23" t="n">
        <v>588.000142</v>
      </c>
      <c r="E389" s="23" t="n">
        <v>214.9</v>
      </c>
      <c r="G389" s="25" t="n">
        <f aca="false">(B389-B388)/B388</f>
        <v>-0.0488653456947269</v>
      </c>
      <c r="H389" s="25" t="n">
        <f aca="false">(C389-C388)/C388</f>
        <v>-0.0270277560084574</v>
      </c>
      <c r="I389" s="25" t="n">
        <f aca="false">(D389-D388)/D388</f>
        <v>-0.0347142621850998</v>
      </c>
      <c r="J389" s="25" t="n">
        <f aca="false">(E389-E388)/E388</f>
        <v>-0.0772467688608355</v>
      </c>
      <c r="L389" s="24" t="n">
        <f aca="false">MAX($B$2:B389)</f>
        <v>192.324701</v>
      </c>
      <c r="M389" s="25" t="n">
        <f aca="false">(B389-L389)/L389</f>
        <v>-0.0488653456947269</v>
      </c>
    </row>
    <row r="390" customFormat="false" ht="15" hidden="false" customHeight="false" outlineLevel="0" collapsed="false">
      <c r="A390" s="22" t="n">
        <v>45943</v>
      </c>
      <c r="B390" s="23" t="n">
        <v>188.080115</v>
      </c>
      <c r="C390" s="23" t="n">
        <v>659.277</v>
      </c>
      <c r="D390" s="23" t="n">
        <v>600.478313</v>
      </c>
      <c r="E390" s="23" t="n">
        <v>216.42</v>
      </c>
      <c r="G390" s="25" t="n">
        <f aca="false">(B390-B389)/B389</f>
        <v>0.0281720893563655</v>
      </c>
      <c r="H390" s="25" t="n">
        <f aca="false">(C390-C389)/C389</f>
        <v>0.0153438860089265</v>
      </c>
      <c r="I390" s="25" t="n">
        <f aca="false">(D390-D389)/D389</f>
        <v>0.021221374126811</v>
      </c>
      <c r="J390" s="25" t="n">
        <f aca="false">(E390-E389)/E389</f>
        <v>0.0070730572359236</v>
      </c>
      <c r="L390" s="24" t="n">
        <f aca="false">MAX($B$2:B390)</f>
        <v>192.324701</v>
      </c>
      <c r="M390" s="25" t="n">
        <f aca="false">(B390-L390)/L390</f>
        <v>-0.022069895223703</v>
      </c>
    </row>
    <row r="391" customFormat="false" ht="15" hidden="false" customHeight="false" outlineLevel="0" collapsed="false">
      <c r="A391" s="22" t="n">
        <v>45944</v>
      </c>
      <c r="B391" s="23" t="n">
        <v>179.800675</v>
      </c>
      <c r="C391" s="23" t="n">
        <v>658.472</v>
      </c>
      <c r="D391" s="23" t="n">
        <v>596.478516</v>
      </c>
      <c r="E391" s="23" t="n">
        <v>218.09</v>
      </c>
      <c r="G391" s="25" t="n">
        <f aca="false">(B391-B390)/B390</f>
        <v>-0.044020815278638</v>
      </c>
      <c r="H391" s="25" t="n">
        <f aca="false">(C391-C390)/C390</f>
        <v>-0.0012210345575533</v>
      </c>
      <c r="I391" s="25" t="n">
        <f aca="false">(D391-D390)/D390</f>
        <v>-0.00666101824729837</v>
      </c>
      <c r="J391" s="25" t="n">
        <f aca="false">(E391-E390)/E390</f>
        <v>0.00771647722022002</v>
      </c>
      <c r="L391" s="24" t="n">
        <f aca="false">MAX($B$2:B391)</f>
        <v>192.324701</v>
      </c>
      <c r="M391" s="25" t="n">
        <f aca="false">(B391-L391)/L391</f>
        <v>-0.0651191757214794</v>
      </c>
    </row>
    <row r="392" customFormat="false" ht="15" hidden="false" customHeight="false" outlineLevel="0" collapsed="false">
      <c r="A392" s="22" t="n">
        <v>45945</v>
      </c>
      <c r="B392" s="23" t="n">
        <v>179.600929</v>
      </c>
      <c r="C392" s="23" t="n">
        <v>661.395</v>
      </c>
      <c r="D392" s="23" t="n">
        <v>600.687779</v>
      </c>
      <c r="E392" s="23" t="n">
        <v>238.6</v>
      </c>
      <c r="G392" s="25" t="n">
        <f aca="false">(B392-B391)/B391</f>
        <v>-0.00111093020090166</v>
      </c>
      <c r="H392" s="25" t="n">
        <f aca="false">(C392-C391)/C391</f>
        <v>0.00443906498681797</v>
      </c>
      <c r="I392" s="25" t="n">
        <f aca="false">(D392-D391)/D391</f>
        <v>0.00705685600921118</v>
      </c>
      <c r="J392" s="25" t="n">
        <f aca="false">(E392-E391)/E391</f>
        <v>0.0940437434086845</v>
      </c>
      <c r="L392" s="24" t="n">
        <f aca="false">MAX($B$2:B392)</f>
        <v>192.324701</v>
      </c>
      <c r="M392" s="25" t="n">
        <f aca="false">(B392-L392)/L392</f>
        <v>-0.0661577630634143</v>
      </c>
    </row>
    <row r="393" customFormat="false" ht="15" hidden="false" customHeight="false" outlineLevel="0" collapsed="false">
      <c r="A393" s="22" t="n">
        <v>45946</v>
      </c>
      <c r="B393" s="23" t="n">
        <v>181.578407</v>
      </c>
      <c r="C393" s="23" t="n">
        <v>656.891</v>
      </c>
      <c r="D393" s="23" t="n">
        <v>598.463453</v>
      </c>
      <c r="E393" s="23" t="n">
        <v>234.56</v>
      </c>
      <c r="G393" s="25" t="n">
        <f aca="false">(B393-B392)/B392</f>
        <v>0.011010399617699</v>
      </c>
      <c r="H393" s="25" t="n">
        <f aca="false">(C393-C392)/C392</f>
        <v>-0.00680984888001878</v>
      </c>
      <c r="I393" s="25" t="n">
        <f aca="false">(D393-D392)/D392</f>
        <v>-0.00370296529705163</v>
      </c>
      <c r="J393" s="25" t="n">
        <f aca="false">(E393-E392)/E392</f>
        <v>-0.0169321039396479</v>
      </c>
      <c r="L393" s="24" t="n">
        <f aca="false">MAX($B$2:B393)</f>
        <v>192.324701</v>
      </c>
      <c r="M393" s="25" t="n">
        <f aca="false">(B393-L393)/L393</f>
        <v>-0.0558757868548565</v>
      </c>
    </row>
    <row r="394" customFormat="false" ht="15" hidden="false" customHeight="false" outlineLevel="0" collapsed="false">
      <c r="A394" s="22" t="n">
        <v>45947</v>
      </c>
      <c r="B394" s="23" t="n">
        <v>182.986611</v>
      </c>
      <c r="C394" s="23" t="n">
        <v>660.619</v>
      </c>
      <c r="D394" s="23" t="n">
        <v>602.393428</v>
      </c>
      <c r="E394" s="23" t="n">
        <v>233.08</v>
      </c>
      <c r="G394" s="25" t="n">
        <f aca="false">(B394-B393)/B393</f>
        <v>0.00775534945628206</v>
      </c>
      <c r="H394" s="25" t="n">
        <f aca="false">(C394-C393)/C393</f>
        <v>0.00567521856746411</v>
      </c>
      <c r="I394" s="25" t="n">
        <f aca="false">(D394-D393)/D393</f>
        <v>0.00656677526472116</v>
      </c>
      <c r="J394" s="25" t="n">
        <f aca="false">(E394-E393)/E393</f>
        <v>-0.00630968622100951</v>
      </c>
      <c r="L394" s="24" t="n">
        <f aca="false">MAX($B$2:B394)</f>
        <v>192.324701</v>
      </c>
      <c r="M394" s="25" t="n">
        <f aca="false">(B394-L394)/L394</f>
        <v>-0.0485537736517786</v>
      </c>
    </row>
    <row r="395" customFormat="false" ht="15" hidden="false" customHeight="false" outlineLevel="0" collapsed="false">
      <c r="A395" s="22" t="n">
        <v>45950</v>
      </c>
      <c r="B395" s="23" t="n">
        <v>182.40735</v>
      </c>
      <c r="C395" s="23" t="n">
        <v>667.49</v>
      </c>
      <c r="D395" s="23" t="n">
        <v>609.984066</v>
      </c>
      <c r="E395" s="23" t="n">
        <v>240.56</v>
      </c>
      <c r="G395" s="25" t="n">
        <f aca="false">(B395-B394)/B394</f>
        <v>-0.00316559226292246</v>
      </c>
      <c r="H395" s="25" t="n">
        <f aca="false">(C395-C394)/C394</f>
        <v>0.0104008513227745</v>
      </c>
      <c r="I395" s="25" t="n">
        <f aca="false">(D395-D394)/D394</f>
        <v>0.0126007981614302</v>
      </c>
      <c r="J395" s="25" t="n">
        <f aca="false">(E395-E394)/E394</f>
        <v>0.0320919855843487</v>
      </c>
      <c r="L395" s="24" t="n">
        <f aca="false">MAX($B$2:B395)</f>
        <v>192.324701</v>
      </c>
      <c r="M395" s="25" t="n">
        <f aca="false">(B395-L395)/L395</f>
        <v>-0.0515656644644933</v>
      </c>
    </row>
    <row r="396" customFormat="false" ht="15" hidden="false" customHeight="false" outlineLevel="0" collapsed="false">
      <c r="A396" s="22" t="n">
        <v>45951</v>
      </c>
      <c r="B396" s="23" t="n">
        <v>180.929235</v>
      </c>
      <c r="C396" s="23" t="n">
        <v>667.48</v>
      </c>
      <c r="D396" s="23" t="n">
        <v>609.824473</v>
      </c>
      <c r="E396" s="23" t="n">
        <v>238.03</v>
      </c>
      <c r="G396" s="25" t="n">
        <f aca="false">(B396-B395)/B395</f>
        <v>-0.00810337412390456</v>
      </c>
      <c r="H396" s="25" t="n">
        <f aca="false">(C396-C395)/C395</f>
        <v>-1.49814978501414E-005</v>
      </c>
      <c r="I396" s="25" t="n">
        <f aca="false">(D396-D395)/D395</f>
        <v>-0.000261634703093986</v>
      </c>
      <c r="J396" s="25" t="n">
        <f aca="false">(E396-E395)/E395</f>
        <v>-0.0105171267043565</v>
      </c>
      <c r="L396" s="24" t="n">
        <f aca="false">MAX($B$2:B396)</f>
        <v>192.324701</v>
      </c>
      <c r="M396" s="25" t="n">
        <f aca="false">(B396-L396)/L396</f>
        <v>-0.0592511827172943</v>
      </c>
    </row>
    <row r="397" customFormat="false" ht="15" hidden="false" customHeight="false" outlineLevel="0" collapsed="false">
      <c r="A397" s="22" t="n">
        <v>45952</v>
      </c>
      <c r="B397" s="23" t="n">
        <v>180.050356</v>
      </c>
      <c r="C397" s="23" t="n">
        <v>664.01</v>
      </c>
      <c r="D397" s="23" t="n">
        <v>603.949459</v>
      </c>
      <c r="E397" s="23" t="n">
        <v>230.23</v>
      </c>
      <c r="G397" s="25" t="n">
        <f aca="false">(B397-B396)/B396</f>
        <v>-0.00485758423728488</v>
      </c>
      <c r="H397" s="25" t="n">
        <f aca="false">(C397-C396)/C396</f>
        <v>-0.00519865763768207</v>
      </c>
      <c r="I397" s="25" t="n">
        <f aca="false">(D397-D396)/D396</f>
        <v>-0.00963394265090434</v>
      </c>
      <c r="J397" s="25" t="n">
        <f aca="false">(E397-E396)/E396</f>
        <v>-0.0327689787001639</v>
      </c>
      <c r="L397" s="24" t="n">
        <f aca="false">MAX($B$2:B397)</f>
        <v>192.324701</v>
      </c>
      <c r="M397" s="25" t="n">
        <f aca="false">(B397-L397)/L397</f>
        <v>-0.0638209493433712</v>
      </c>
    </row>
    <row r="398" customFormat="false" ht="15" hidden="false" customHeight="false" outlineLevel="0" collapsed="false">
      <c r="A398" s="22" t="n">
        <v>45953</v>
      </c>
      <c r="B398" s="23" t="n">
        <v>181.927961</v>
      </c>
      <c r="C398" s="23" t="n">
        <v>667.948</v>
      </c>
      <c r="D398" s="23" t="n">
        <v>609.026509</v>
      </c>
      <c r="E398" s="23" t="n">
        <v>234.99</v>
      </c>
      <c r="G398" s="25" t="n">
        <f aca="false">(B398-B397)/B397</f>
        <v>0.0104282215359797</v>
      </c>
      <c r="H398" s="25" t="n">
        <f aca="false">(C398-C397)/C397</f>
        <v>0.00593063357479554</v>
      </c>
      <c r="I398" s="25" t="n">
        <f aca="false">(D398-D397)/D397</f>
        <v>0.00840641534542708</v>
      </c>
      <c r="J398" s="25" t="n">
        <f aca="false">(E398-E397)/E397</f>
        <v>0.0206749771967164</v>
      </c>
      <c r="L398" s="24" t="n">
        <f aca="false">MAX($B$2:B398)</f>
        <v>192.324701</v>
      </c>
      <c r="M398" s="25" t="n">
        <f aca="false">(B398-L398)/L398</f>
        <v>-0.0540582668057807</v>
      </c>
    </row>
    <row r="399" customFormat="false" ht="15" hidden="false" customHeight="false" outlineLevel="0" collapsed="false">
      <c r="A399" s="22" t="n">
        <v>45954</v>
      </c>
      <c r="B399" s="23" t="n">
        <v>186.022739</v>
      </c>
      <c r="C399" s="23" t="n">
        <v>673.406</v>
      </c>
      <c r="D399" s="23" t="n">
        <v>615.52992</v>
      </c>
      <c r="E399" s="23" t="n">
        <v>252.92</v>
      </c>
      <c r="G399" s="25" t="n">
        <f aca="false">(B399-B398)/B398</f>
        <v>0.0225076891836324</v>
      </c>
      <c r="H399" s="25" t="n">
        <f aca="false">(C399-C398)/C398</f>
        <v>0.00817129477144923</v>
      </c>
      <c r="I399" s="25" t="n">
        <f aca="false">(D399-D398)/D398</f>
        <v>0.0106783709804</v>
      </c>
      <c r="J399" s="25" t="n">
        <f aca="false">(E399-E398)/E398</f>
        <v>0.0763011191965615</v>
      </c>
      <c r="L399" s="24" t="n">
        <f aca="false">MAX($B$2:B399)</f>
        <v>192.324701</v>
      </c>
      <c r="M399" s="25" t="n">
        <f aca="false">(B399-L399)/L399</f>
        <v>-0.0327673042892187</v>
      </c>
    </row>
    <row r="400" customFormat="false" ht="15" hidden="false" customHeight="false" outlineLevel="0" collapsed="false">
      <c r="A400" s="22" t="n">
        <v>45957</v>
      </c>
      <c r="B400" s="23" t="n">
        <v>191.246077</v>
      </c>
      <c r="C400" s="23" t="n">
        <v>681.351</v>
      </c>
      <c r="D400" s="23" t="n">
        <v>626.491958</v>
      </c>
      <c r="E400" s="23" t="n">
        <v>259.67</v>
      </c>
      <c r="G400" s="25" t="n">
        <f aca="false">(B400-B399)/B399</f>
        <v>0.0280790296287381</v>
      </c>
      <c r="H400" s="25" t="n">
        <f aca="false">(C400-C399)/C399</f>
        <v>0.0117982316759875</v>
      </c>
      <c r="I400" s="25" t="n">
        <f aca="false">(D400-D399)/D399</f>
        <v>0.0178091066637346</v>
      </c>
      <c r="J400" s="25" t="n">
        <f aca="false">(E400-E399)/E399</f>
        <v>0.0266882808793295</v>
      </c>
      <c r="L400" s="24" t="n">
        <f aca="false">MAX($B$2:B400)</f>
        <v>192.324701</v>
      </c>
      <c r="M400" s="25" t="n">
        <f aca="false">(B400-L400)/L400</f>
        <v>-0.00560834876847145</v>
      </c>
    </row>
    <row r="401" customFormat="false" ht="15" hidden="false" customHeight="false" outlineLevel="0" collapsed="false">
      <c r="A401" s="22" t="n">
        <v>45958</v>
      </c>
      <c r="B401" s="23" t="n">
        <v>200.773925</v>
      </c>
      <c r="C401" s="23" t="n">
        <v>683.161</v>
      </c>
      <c r="D401" s="23" t="n">
        <v>631.309669</v>
      </c>
      <c r="E401" s="23" t="n">
        <v>258.01</v>
      </c>
      <c r="G401" s="25" t="n">
        <f aca="false">(B401-B400)/B400</f>
        <v>0.0498198349971904</v>
      </c>
      <c r="H401" s="25" t="n">
        <f aca="false">(C401-C400)/C400</f>
        <v>0.00265648689148463</v>
      </c>
      <c r="I401" s="25" t="n">
        <f aca="false">(D401-D400)/D400</f>
        <v>0.00768998059509015</v>
      </c>
      <c r="J401" s="25" t="n">
        <f aca="false">(E401-E400)/E400</f>
        <v>-0.00639272923325769</v>
      </c>
      <c r="L401" s="24" t="n">
        <f aca="false">MAX($B$2:B401)</f>
        <v>200.773925</v>
      </c>
      <c r="M401" s="25" t="n">
        <f aca="false">(B401-L401)/L401</f>
        <v>0</v>
      </c>
    </row>
    <row r="402" customFormat="false" ht="15" hidden="false" customHeight="false" outlineLevel="0" collapsed="false">
      <c r="A402" s="22" t="n">
        <v>45959</v>
      </c>
      <c r="B402" s="23" t="n">
        <v>206.776269</v>
      </c>
      <c r="C402" s="23" t="n">
        <v>683.489</v>
      </c>
      <c r="D402" s="23" t="n">
        <v>634.152418</v>
      </c>
      <c r="E402" s="23" t="n">
        <v>264.33</v>
      </c>
      <c r="G402" s="25" t="n">
        <f aca="false">(B402-B401)/B401</f>
        <v>0.0298960335611311</v>
      </c>
      <c r="H402" s="25" t="n">
        <f aca="false">(C402-C401)/C401</f>
        <v>0.000480121084195509</v>
      </c>
      <c r="I402" s="25" t="n">
        <f aca="false">(D402-D401)/D401</f>
        <v>0.00450293911148702</v>
      </c>
      <c r="J402" s="25" t="n">
        <f aca="false">(E402-E401)/E401</f>
        <v>0.0244951746056354</v>
      </c>
      <c r="L402" s="24" t="n">
        <f aca="false">MAX($B$2:B402)</f>
        <v>206.776269</v>
      </c>
      <c r="M402" s="25" t="n">
        <f aca="false">(B402-L402)/L402</f>
        <v>0</v>
      </c>
    </row>
    <row r="403" customFormat="false" ht="15" hidden="false" customHeight="false" outlineLevel="0" collapsed="false">
      <c r="A403" s="22" t="n">
        <v>45960</v>
      </c>
      <c r="B403" s="23" t="n">
        <v>202.631555</v>
      </c>
      <c r="C403" s="23" t="n">
        <v>675.972</v>
      </c>
      <c r="D403" s="23" t="n">
        <v>624.457148</v>
      </c>
      <c r="E403" s="23" t="n">
        <v>254.84</v>
      </c>
      <c r="G403" s="25" t="n">
        <f aca="false">(B403-B402)/B402</f>
        <v>-0.020044437497806</v>
      </c>
      <c r="H403" s="25" t="n">
        <f aca="false">(C403-C402)/C402</f>
        <v>-0.0109979824108362</v>
      </c>
      <c r="I403" s="25" t="n">
        <f aca="false">(D403-D402)/D402</f>
        <v>-0.0152885485016002</v>
      </c>
      <c r="J403" s="25" t="n">
        <f aca="false">(E403-E402)/E402</f>
        <v>-0.0359020920818673</v>
      </c>
      <c r="L403" s="24" t="n">
        <f aca="false">MAX($B$2:B403)</f>
        <v>206.776269</v>
      </c>
      <c r="M403" s="25" t="n">
        <f aca="false">(B403-L403)/L403</f>
        <v>-0.020044437497806</v>
      </c>
    </row>
    <row r="404" customFormat="false" ht="15" hidden="false" customHeight="false" outlineLevel="0" collapsed="false">
      <c r="A404" s="22" t="n">
        <v>45961</v>
      </c>
      <c r="B404" s="23" t="n">
        <v>202.232065</v>
      </c>
      <c r="C404" s="23" t="n">
        <v>678.189</v>
      </c>
      <c r="D404" s="23" t="n">
        <v>627.469465</v>
      </c>
      <c r="E404" s="23" t="n">
        <v>256.12</v>
      </c>
      <c r="G404" s="25" t="n">
        <f aca="false">(B404-B403)/B403</f>
        <v>-0.00197150932390558</v>
      </c>
      <c r="H404" s="25" t="n">
        <f aca="false">(C404-C403)/C403</f>
        <v>0.00327972164527523</v>
      </c>
      <c r="I404" s="25" t="n">
        <f aca="false">(D404-D403)/D403</f>
        <v>0.00482389705946653</v>
      </c>
      <c r="J404" s="25" t="n">
        <f aca="false">(E404-E403)/E403</f>
        <v>0.00502275937843353</v>
      </c>
      <c r="L404" s="24" t="n">
        <f aca="false">MAX($B$2:B404)</f>
        <v>206.776269</v>
      </c>
      <c r="M404" s="25" t="n">
        <f aca="false">(B404-L404)/L404</f>
        <v>-0.0219764290262922</v>
      </c>
    </row>
    <row r="405" customFormat="false" ht="15" hidden="false" customHeight="false" outlineLevel="0" collapsed="false">
      <c r="A405" s="22" t="n">
        <v>45964</v>
      </c>
      <c r="B405" s="23" t="n">
        <v>206.616473</v>
      </c>
      <c r="C405" s="23" t="n">
        <v>679.462</v>
      </c>
      <c r="D405" s="23" t="n">
        <v>630.471806</v>
      </c>
      <c r="E405" s="23" t="n">
        <v>259.65</v>
      </c>
      <c r="G405" s="25" t="n">
        <f aca="false">(B405-B404)/B404</f>
        <v>0.02168008322518</v>
      </c>
      <c r="H405" s="25" t="n">
        <f aca="false">(C405-C404)/C404</f>
        <v>0.00187705787029873</v>
      </c>
      <c r="I405" s="25" t="n">
        <f aca="false">(D405-D404)/D404</f>
        <v>0.00478484000811099</v>
      </c>
      <c r="J405" s="25" t="n">
        <f aca="false">(E405-E404)/E404</f>
        <v>0.0137826019053568</v>
      </c>
      <c r="L405" s="24" t="n">
        <f aca="false">MAX($B$2:B405)</f>
        <v>206.776269</v>
      </c>
      <c r="M405" s="25" t="n">
        <f aca="false">(B405-L405)/L405</f>
        <v>-0.000772796611394512</v>
      </c>
    </row>
    <row r="406" customFormat="false" ht="15" hidden="false" customHeight="false" outlineLevel="0" collapsed="false">
      <c r="A406" s="22" t="n">
        <v>45965</v>
      </c>
      <c r="B406" s="23" t="n">
        <v>198.436905</v>
      </c>
      <c r="C406" s="23" t="n">
        <v>671.408</v>
      </c>
      <c r="D406" s="23" t="n">
        <v>617.67445</v>
      </c>
      <c r="E406" s="23" t="n">
        <v>250.05</v>
      </c>
      <c r="G406" s="25" t="n">
        <f aca="false">(B406-B405)/B405</f>
        <v>-0.0395881697196526</v>
      </c>
      <c r="H406" s="25" t="n">
        <f aca="false">(C406-C405)/C405</f>
        <v>-0.0118534958540727</v>
      </c>
      <c r="I406" s="25" t="n">
        <f aca="false">(D406-D405)/D405</f>
        <v>-0.0202980623054222</v>
      </c>
      <c r="J406" s="25" t="n">
        <f aca="false">(E406-E405)/E405</f>
        <v>-0.0369728480647024</v>
      </c>
      <c r="L406" s="24" t="n">
        <f aca="false">MAX($B$2:B406)</f>
        <v>206.776269</v>
      </c>
      <c r="M406" s="25" t="n">
        <f aca="false">(B406-L406)/L406</f>
        <v>-0.0403303727276364</v>
      </c>
    </row>
    <row r="407" customFormat="false" ht="15" hidden="false" customHeight="false" outlineLevel="0" collapsed="false">
      <c r="A407" s="22" t="n">
        <v>45966</v>
      </c>
      <c r="B407" s="23" t="n">
        <v>194.961338</v>
      </c>
      <c r="C407" s="23" t="n">
        <v>673.735</v>
      </c>
      <c r="D407" s="23" t="n">
        <v>621.694196</v>
      </c>
      <c r="E407" s="23" t="n">
        <v>256.33</v>
      </c>
      <c r="G407" s="25" t="n">
        <f aca="false">(B407-B406)/B406</f>
        <v>-0.017514720863037</v>
      </c>
      <c r="H407" s="25" t="n">
        <f aca="false">(C407-C406)/C406</f>
        <v>0.00346585086862236</v>
      </c>
      <c r="I407" s="25" t="n">
        <f aca="false">(D407-D406)/D406</f>
        <v>0.00650787158186656</v>
      </c>
      <c r="J407" s="25" t="n">
        <f aca="false">(E407-E406)/E406</f>
        <v>0.025114977004599</v>
      </c>
      <c r="L407" s="24" t="n">
        <f aca="false">MAX($B$2:B407)</f>
        <v>206.776269</v>
      </c>
      <c r="M407" s="25" t="n">
        <f aca="false">(B407-L407)/L407</f>
        <v>-0.0571387183700466</v>
      </c>
    </row>
    <row r="408" customFormat="false" ht="15" hidden="false" customHeight="false" outlineLevel="0" collapsed="false">
      <c r="A408" s="22" t="n">
        <v>45967</v>
      </c>
      <c r="B408" s="23" t="n">
        <v>187.84042</v>
      </c>
      <c r="C408" s="23" t="n">
        <v>666.506</v>
      </c>
      <c r="D408" s="23" t="n">
        <v>610.113735</v>
      </c>
      <c r="E408" s="23" t="n">
        <v>237.7</v>
      </c>
      <c r="G408" s="25" t="n">
        <f aca="false">(B408-B407)/B407</f>
        <v>-0.0365247698494971</v>
      </c>
      <c r="H408" s="25" t="n">
        <f aca="false">(C408-C407)/C407</f>
        <v>-0.0107297379533497</v>
      </c>
      <c r="I408" s="25" t="n">
        <f aca="false">(D408-D407)/D407</f>
        <v>-0.0186272625263499</v>
      </c>
      <c r="J408" s="25" t="n">
        <f aca="false">(E408-E407)/E407</f>
        <v>-0.0726797487613623</v>
      </c>
      <c r="L408" s="24" t="n">
        <f aca="false">MAX($B$2:B408)</f>
        <v>206.776269</v>
      </c>
      <c r="M408" s="25" t="n">
        <f aca="false">(B408-L408)/L408</f>
        <v>-0.0915765096815826</v>
      </c>
    </row>
    <row r="409" customFormat="false" ht="15" hidden="false" customHeight="false" outlineLevel="0" collapsed="false">
      <c r="A409" s="22" t="n">
        <v>45968</v>
      </c>
      <c r="B409" s="23" t="n">
        <v>187.910331</v>
      </c>
      <c r="C409" s="23" t="n">
        <v>667.162</v>
      </c>
      <c r="D409" s="23" t="n">
        <v>608.188646</v>
      </c>
      <c r="E409" s="23" t="n">
        <v>233.54</v>
      </c>
      <c r="G409" s="25" t="n">
        <f aca="false">(B409-B408)/B408</f>
        <v>0.000372182941243524</v>
      </c>
      <c r="H409" s="25" t="n">
        <f aca="false">(C409-C408)/C408</f>
        <v>0.000984237201165575</v>
      </c>
      <c r="I409" s="25" t="n">
        <f aca="false">(D409-D408)/D408</f>
        <v>-0.00315529529916266</v>
      </c>
      <c r="J409" s="25" t="n">
        <f aca="false">(E409-E408)/E408</f>
        <v>-0.0175010517458982</v>
      </c>
      <c r="L409" s="24" t="n">
        <f aca="false">MAX($B$2:B409)</f>
        <v>206.776269</v>
      </c>
      <c r="M409" s="25" t="n">
        <f aca="false">(B409-L409)/L409</f>
        <v>-0.0912384099550611</v>
      </c>
    </row>
    <row r="410" customFormat="false" ht="15" hidden="false" customHeight="false" outlineLevel="0" collapsed="false">
      <c r="A410" s="22" t="n">
        <v>45971</v>
      </c>
      <c r="B410" s="23" t="n">
        <v>198.796447</v>
      </c>
      <c r="C410" s="23" t="n">
        <v>677.573</v>
      </c>
      <c r="D410" s="23" t="n">
        <v>621.644323</v>
      </c>
      <c r="E410" s="23" t="n">
        <v>243.98</v>
      </c>
      <c r="G410" s="25" t="n">
        <f aca="false">(B410-B409)/B409</f>
        <v>0.0579325039877663</v>
      </c>
      <c r="H410" s="25" t="n">
        <f aca="false">(C410-C409)/C409</f>
        <v>0.0156049055551724</v>
      </c>
      <c r="I410" s="25" t="n">
        <f aca="false">(D410-D409)/D409</f>
        <v>0.0221241831601046</v>
      </c>
      <c r="J410" s="25" t="n">
        <f aca="false">(E410-E409)/E409</f>
        <v>0.0447032628243556</v>
      </c>
      <c r="L410" s="24" t="n">
        <f aca="false">MAX($B$2:B410)</f>
        <v>206.776269</v>
      </c>
      <c r="M410" s="25" t="n">
        <f aca="false">(B410-L410)/L410</f>
        <v>-0.0385915755158539</v>
      </c>
    </row>
    <row r="411" customFormat="false" ht="15" hidden="false" customHeight="false" outlineLevel="0" collapsed="false">
      <c r="A411" s="22" t="n">
        <v>45972</v>
      </c>
      <c r="B411" s="23" t="n">
        <v>192.913949</v>
      </c>
      <c r="C411" s="23" t="n">
        <v>679.124</v>
      </c>
      <c r="D411" s="23" t="n">
        <v>619.988547</v>
      </c>
      <c r="E411" s="23" t="n">
        <v>237.52</v>
      </c>
      <c r="G411" s="25" t="n">
        <f aca="false">(B411-B410)/B410</f>
        <v>-0.029590559030464</v>
      </c>
      <c r="H411" s="25" t="n">
        <f aca="false">(C411-C410)/C410</f>
        <v>0.00228905224972076</v>
      </c>
      <c r="I411" s="25" t="n">
        <f aca="false">(D411-D410)/D410</f>
        <v>-0.00266354238064834</v>
      </c>
      <c r="J411" s="25" t="n">
        <f aca="false">(E411-E410)/E410</f>
        <v>-0.0264775801295187</v>
      </c>
      <c r="L411" s="24" t="n">
        <f aca="false">MAX($B$2:B411)</f>
        <v>206.776269</v>
      </c>
      <c r="M411" s="25" t="n">
        <f aca="false">(B411-L411)/L411</f>
        <v>-0.0670401882529373</v>
      </c>
    </row>
    <row r="412" customFormat="false" ht="15" hidden="false" customHeight="false" outlineLevel="0" collapsed="false">
      <c r="A412" s="22" t="n">
        <v>45973</v>
      </c>
      <c r="B412" s="23" t="n">
        <v>193.553134</v>
      </c>
      <c r="C412" s="23" t="n">
        <v>679.502</v>
      </c>
      <c r="D412" s="23" t="n">
        <v>619.499793</v>
      </c>
      <c r="E412" s="23" t="n">
        <v>258.89</v>
      </c>
      <c r="G412" s="25" t="n">
        <f aca="false">(B412-B411)/B411</f>
        <v>0.00331331665394501</v>
      </c>
      <c r="H412" s="25" t="n">
        <f aca="false">(C412-C411)/C411</f>
        <v>0.000556599383912112</v>
      </c>
      <c r="I412" s="25" t="n">
        <f aca="false">(D412-D411)/D411</f>
        <v>-0.000788327465668629</v>
      </c>
      <c r="J412" s="25" t="n">
        <f aca="false">(E412-E411)/E411</f>
        <v>0.0899713708319298</v>
      </c>
      <c r="L412" s="24" t="n">
        <f aca="false">MAX($B$2:B412)</f>
        <v>206.776269</v>
      </c>
      <c r="M412" s="25" t="n">
        <f aca="false">(B412-L412)/L412</f>
        <v>-0.0639489969712144</v>
      </c>
    </row>
    <row r="413" customFormat="false" ht="15" hidden="false" customHeight="false" outlineLevel="0" collapsed="false">
      <c r="A413" s="22" t="n">
        <v>45974</v>
      </c>
      <c r="B413" s="23" t="n">
        <v>186.621975</v>
      </c>
      <c r="C413" s="23" t="n">
        <v>668.226</v>
      </c>
      <c r="D413" s="23" t="n">
        <v>606.852055</v>
      </c>
      <c r="E413" s="23" t="n">
        <v>247.96</v>
      </c>
      <c r="G413" s="25" t="n">
        <f aca="false">(B413-B412)/B412</f>
        <v>-0.035810109899848</v>
      </c>
      <c r="H413" s="25" t="n">
        <f aca="false">(C413-C412)/C412</f>
        <v>-0.0165945059764356</v>
      </c>
      <c r="I413" s="25" t="n">
        <f aca="false">(D413-D412)/D412</f>
        <v>-0.0204160487911576</v>
      </c>
      <c r="J413" s="25" t="n">
        <f aca="false">(E413-E412)/E412</f>
        <v>-0.0422187029240217</v>
      </c>
      <c r="L413" s="24" t="n">
        <f aca="false">MAX($B$2:B413)</f>
        <v>206.776269</v>
      </c>
      <c r="M413" s="25" t="n">
        <f aca="false">(B413-L413)/L413</f>
        <v>-0.0974690862615382</v>
      </c>
    </row>
    <row r="414" customFormat="false" ht="15" hidden="false" customHeight="false" outlineLevel="0" collapsed="false">
      <c r="A414" s="22" t="n">
        <v>45975</v>
      </c>
      <c r="B414" s="23" t="n">
        <v>189.927758</v>
      </c>
      <c r="C414" s="23" t="n">
        <v>668.117</v>
      </c>
      <c r="D414" s="23" t="n">
        <v>607.310885</v>
      </c>
      <c r="E414" s="23" t="n">
        <v>246.81</v>
      </c>
      <c r="G414" s="25" t="n">
        <f aca="false">(B414-B413)/B413</f>
        <v>0.017713792815664</v>
      </c>
      <c r="H414" s="25" t="n">
        <f aca="false">(C414-C413)/C413</f>
        <v>-0.000163118465908296</v>
      </c>
      <c r="I414" s="25" t="n">
        <f aca="false">(D414-D413)/D413</f>
        <v>0.000756082139328068</v>
      </c>
      <c r="J414" s="25" t="n">
        <f aca="false">(E414-E413)/E413</f>
        <v>-0.00463784481367965</v>
      </c>
      <c r="L414" s="24" t="n">
        <f aca="false">MAX($B$2:B414)</f>
        <v>206.776269</v>
      </c>
      <c r="M414" s="25" t="n">
        <f aca="false">(B414-L414)/L414</f>
        <v>-0.0814818406458432</v>
      </c>
    </row>
    <row r="415" customFormat="false" ht="15" hidden="false" customHeight="false" outlineLevel="0" collapsed="false">
      <c r="A415" s="22" t="n">
        <v>45978</v>
      </c>
      <c r="B415" s="23" t="n">
        <v>186.362306</v>
      </c>
      <c r="C415" s="23" t="n">
        <v>661.892</v>
      </c>
      <c r="D415" s="23" t="n">
        <v>602.124115</v>
      </c>
      <c r="E415" s="23" t="n">
        <v>240.52</v>
      </c>
      <c r="G415" s="25" t="n">
        <f aca="false">(B415-B414)/B414</f>
        <v>-0.0187726746082056</v>
      </c>
      <c r="H415" s="25" t="n">
        <f aca="false">(C415-C414)/C414</f>
        <v>-0.00931723036534007</v>
      </c>
      <c r="I415" s="25" t="n">
        <f aca="false">(D415-D414)/D414</f>
        <v>-0.00854055168136831</v>
      </c>
      <c r="J415" s="25" t="n">
        <f aca="false">(E415-E414)/E414</f>
        <v>-0.0254851910376403</v>
      </c>
      <c r="L415" s="24" t="n">
        <f aca="false">MAX($B$2:B415)</f>
        <v>206.776269</v>
      </c>
      <c r="M415" s="25" t="n">
        <f aca="false">(B415-L415)/L415</f>
        <v>-0.0987248831731267</v>
      </c>
    </row>
    <row r="416" customFormat="false" ht="15" hidden="false" customHeight="false" outlineLevel="0" collapsed="false">
      <c r="A416" s="22" t="n">
        <v>45979</v>
      </c>
      <c r="B416" s="23" t="n">
        <v>181.128981</v>
      </c>
      <c r="C416" s="23" t="n">
        <v>656.334</v>
      </c>
      <c r="D416" s="23" t="n">
        <v>594.792816</v>
      </c>
      <c r="E416" s="23" t="n">
        <v>230.29</v>
      </c>
      <c r="G416" s="25" t="n">
        <f aca="false">(B416-B415)/B415</f>
        <v>-0.0280814565580659</v>
      </c>
      <c r="H416" s="25" t="n">
        <f aca="false">(C416-C415)/C415</f>
        <v>-0.00839714031896458</v>
      </c>
      <c r="I416" s="25" t="n">
        <f aca="false">(D416-D415)/D415</f>
        <v>-0.0121757272584905</v>
      </c>
      <c r="J416" s="25" t="n">
        <f aca="false">(E416-E415)/E415</f>
        <v>-0.0425328455014137</v>
      </c>
      <c r="L416" s="24" t="n">
        <f aca="false">MAX($B$2:B416)</f>
        <v>206.776269</v>
      </c>
      <c r="M416" s="25" t="n">
        <f aca="false">(B416-L416)/L416</f>
        <v>-0.124034001213166</v>
      </c>
    </row>
    <row r="417" customFormat="false" ht="15" hidden="false" customHeight="false" outlineLevel="0" collapsed="false">
      <c r="A417" s="22" t="n">
        <v>45980</v>
      </c>
      <c r="B417" s="23" t="n">
        <v>186.282408</v>
      </c>
      <c r="C417" s="23" t="n">
        <v>658.869</v>
      </c>
      <c r="D417" s="23" t="n">
        <v>598.343758</v>
      </c>
      <c r="E417" s="23" t="n">
        <v>223.55</v>
      </c>
      <c r="G417" s="25" t="n">
        <f aca="false">(B417-B416)/B416</f>
        <v>0.0284516976330806</v>
      </c>
      <c r="H417" s="25" t="n">
        <f aca="false">(C417-C416)/C416</f>
        <v>0.00386236276042393</v>
      </c>
      <c r="I417" s="25" t="n">
        <f aca="false">(D417-D416)/D416</f>
        <v>0.00597004856897929</v>
      </c>
      <c r="J417" s="25" t="n">
        <f aca="false">(E417-E416)/E416</f>
        <v>-0.0292674453949367</v>
      </c>
      <c r="L417" s="24" t="n">
        <f aca="false">MAX($B$2:B417)</f>
        <v>206.776269</v>
      </c>
      <c r="M417" s="25" t="n">
        <f aca="false">(B417-L417)/L417</f>
        <v>-0.0991112814788239</v>
      </c>
    </row>
    <row r="418" customFormat="false" ht="15" hidden="false" customHeight="false" outlineLevel="0" collapsed="false">
      <c r="A418" s="22" t="n">
        <v>45981</v>
      </c>
      <c r="B418" s="23" t="n">
        <v>180.409898</v>
      </c>
      <c r="C418" s="23" t="n">
        <v>648.827</v>
      </c>
      <c r="D418" s="23" t="n">
        <v>584.179887</v>
      </c>
      <c r="E418" s="23" t="n">
        <v>206.02</v>
      </c>
      <c r="G418" s="25" t="n">
        <f aca="false">(B418-B417)/B417</f>
        <v>-0.0315247696390096</v>
      </c>
      <c r="H418" s="25" t="n">
        <f aca="false">(C418-C417)/C417</f>
        <v>-0.0152412695088098</v>
      </c>
      <c r="I418" s="25" t="n">
        <f aca="false">(D418-D417)/D417</f>
        <v>-0.0236717953695106</v>
      </c>
      <c r="J418" s="25" t="n">
        <f aca="false">(E418-E417)/E417</f>
        <v>-0.0784164616416909</v>
      </c>
      <c r="L418" s="24" t="n">
        <f aca="false">MAX($B$2:B418)</f>
        <v>206.776269</v>
      </c>
      <c r="M418" s="25" t="n">
        <f aca="false">(B418-L418)/L418</f>
        <v>-0.127511590800587</v>
      </c>
    </row>
    <row r="419" customFormat="false" ht="15" hidden="false" customHeight="false" outlineLevel="0" collapsed="false">
      <c r="A419" s="22" t="n">
        <v>45982</v>
      </c>
      <c r="B419" s="23" t="n">
        <v>178.65214</v>
      </c>
      <c r="C419" s="23" t="n">
        <v>655.29</v>
      </c>
      <c r="D419" s="23" t="n">
        <v>588.568692</v>
      </c>
      <c r="E419" s="23" t="n">
        <v>203.78</v>
      </c>
      <c r="G419" s="25" t="n">
        <f aca="false">(B419-B418)/B418</f>
        <v>-0.00974313504683648</v>
      </c>
      <c r="H419" s="25" t="n">
        <f aca="false">(C419-C418)/C418</f>
        <v>0.00996105279219263</v>
      </c>
      <c r="I419" s="25" t="n">
        <f aca="false">(D419-D418)/D418</f>
        <v>0.0075127629308471</v>
      </c>
      <c r="J419" s="25" t="n">
        <f aca="false">(E419-E418)/E418</f>
        <v>-0.0108727308028347</v>
      </c>
      <c r="L419" s="24" t="n">
        <f aca="false">MAX($B$2:B419)</f>
        <v>206.776269</v>
      </c>
      <c r="M419" s="25" t="n">
        <f aca="false">(B419-L419)/L419</f>
        <v>-0.136012363198216</v>
      </c>
    </row>
    <row r="420" customFormat="false" ht="15" hidden="false" customHeight="false" outlineLevel="0" collapsed="false">
      <c r="A420" s="22" t="n">
        <v>45985</v>
      </c>
      <c r="B420" s="23" t="n">
        <v>182.317465</v>
      </c>
      <c r="C420" s="23" t="n">
        <v>664.935</v>
      </c>
      <c r="D420" s="23" t="n">
        <v>603.620299</v>
      </c>
      <c r="E420" s="23" t="n">
        <v>215.05</v>
      </c>
      <c r="G420" s="25" t="n">
        <f aca="false">(B420-B419)/B419</f>
        <v>0.0205165468490889</v>
      </c>
      <c r="H420" s="25" t="n">
        <f aca="false">(C420-C419)/C419</f>
        <v>0.0147186741747928</v>
      </c>
      <c r="I420" s="25" t="n">
        <f aca="false">(D420-D419)/D419</f>
        <v>0.025573237592461</v>
      </c>
      <c r="J420" s="25" t="n">
        <f aca="false">(E420-E419)/E419</f>
        <v>0.0553047404063206</v>
      </c>
      <c r="L420" s="24" t="n">
        <f aca="false">MAX($B$2:B420)</f>
        <v>206.776269</v>
      </c>
      <c r="M420" s="25" t="n">
        <f aca="false">(B420-L420)/L420</f>
        <v>-0.118286320370739</v>
      </c>
    </row>
    <row r="421" customFormat="false" ht="15" hidden="false" customHeight="false" outlineLevel="0" collapsed="false">
      <c r="A421" s="22" t="n">
        <v>45986</v>
      </c>
      <c r="B421" s="23" t="n">
        <v>177.59349</v>
      </c>
      <c r="C421" s="23" t="n">
        <v>671.189</v>
      </c>
      <c r="D421" s="23" t="n">
        <v>607.340808</v>
      </c>
      <c r="E421" s="23" t="n">
        <v>206.13</v>
      </c>
      <c r="G421" s="25" t="n">
        <f aca="false">(B421-B420)/B420</f>
        <v>-0.0259107101999251</v>
      </c>
      <c r="H421" s="25" t="n">
        <f aca="false">(C421-C420)/C420</f>
        <v>0.00940543060599911</v>
      </c>
      <c r="I421" s="25" t="n">
        <f aca="false">(D421-D420)/D420</f>
        <v>0.00616365785935902</v>
      </c>
      <c r="J421" s="25" t="n">
        <f aca="false">(E421-E420)/E420</f>
        <v>-0.0414787258777029</v>
      </c>
      <c r="L421" s="24" t="n">
        <f aca="false">MAX($B$2:B421)</f>
        <v>206.776269</v>
      </c>
      <c r="M421" s="25" t="n">
        <f aca="false">(B421-L421)/L421</f>
        <v>-0.141132148002922</v>
      </c>
    </row>
    <row r="422" customFormat="false" ht="15" hidden="false" customHeight="false" outlineLevel="0" collapsed="false">
      <c r="A422" s="22" t="n">
        <v>45987</v>
      </c>
      <c r="B422" s="23" t="n">
        <v>180.030382</v>
      </c>
      <c r="C422" s="23" t="n">
        <v>675.823</v>
      </c>
      <c r="D422" s="23" t="n">
        <v>612.70712</v>
      </c>
      <c r="E422" s="23" t="n">
        <v>214.24</v>
      </c>
      <c r="G422" s="25" t="n">
        <f aca="false">(B422-B421)/B421</f>
        <v>0.0137217417147442</v>
      </c>
      <c r="H422" s="25" t="n">
        <f aca="false">(C422-C421)/C421</f>
        <v>0.00690416559270193</v>
      </c>
      <c r="I422" s="25" t="n">
        <f aca="false">(D422-D421)/D421</f>
        <v>0.00883575075034311</v>
      </c>
      <c r="J422" s="25" t="n">
        <f aca="false">(E422-E421)/E421</f>
        <v>0.0393441032358221</v>
      </c>
      <c r="L422" s="24" t="n">
        <f aca="false">MAX($B$2:B422)</f>
        <v>206.776269</v>
      </c>
      <c r="M422" s="25" t="n">
        <f aca="false">(B422-L422)/L422</f>
        <v>-0.129346985170721</v>
      </c>
    </row>
    <row r="423" customFormat="false" ht="15" hidden="false" customHeight="false" outlineLevel="0" collapsed="false">
      <c r="A423" s="22" t="n">
        <v>45989</v>
      </c>
      <c r="B423" s="23" t="n">
        <v>176.774534</v>
      </c>
      <c r="C423" s="23" t="n">
        <v>679.512</v>
      </c>
      <c r="D423" s="23" t="n">
        <v>617.67445</v>
      </c>
      <c r="E423" s="23" t="n">
        <v>217.53</v>
      </c>
      <c r="G423" s="25" t="n">
        <f aca="false">(B423-B422)/B422</f>
        <v>-0.0180849918987564</v>
      </c>
      <c r="H423" s="25" t="n">
        <f aca="false">(C423-C422)/C422</f>
        <v>0.00545852982215752</v>
      </c>
      <c r="I423" s="25" t="n">
        <f aca="false">(D423-D422)/D422</f>
        <v>0.00810718504462613</v>
      </c>
      <c r="J423" s="25" t="n">
        <f aca="false">(E423-E422)/E422</f>
        <v>0.0153566094100074</v>
      </c>
      <c r="L423" s="24" t="n">
        <f aca="false">MAX($B$2:B423)</f>
        <v>206.776269</v>
      </c>
      <c r="M423" s="25" t="n">
        <f aca="false">(B423-L423)/L423</f>
        <v>-0.145092737890536</v>
      </c>
    </row>
    <row r="424" customFormat="false" ht="15" hidden="false" customHeight="false" outlineLevel="0" collapsed="false">
      <c r="A424" s="22" t="n">
        <v>45992</v>
      </c>
      <c r="B424" s="23" t="n">
        <v>179.690815</v>
      </c>
      <c r="C424" s="23" t="n">
        <v>676.409</v>
      </c>
      <c r="D424" s="23" t="n">
        <v>615.599742</v>
      </c>
      <c r="E424" s="23" t="n">
        <v>219.76</v>
      </c>
      <c r="G424" s="25" t="n">
        <f aca="false">(B424-B423)/B423</f>
        <v>0.016497178264376</v>
      </c>
      <c r="H424" s="25" t="n">
        <f aca="false">(C424-C423)/C423</f>
        <v>-0.00456651243833803</v>
      </c>
      <c r="I424" s="25" t="n">
        <f aca="false">(D424-D423)/D423</f>
        <v>-0.0033589020883088</v>
      </c>
      <c r="J424" s="25" t="n">
        <f aca="false">(E424-E423)/E423</f>
        <v>0.0102514595687951</v>
      </c>
      <c r="L424" s="24" t="n">
        <f aca="false">MAX($B$2:B424)</f>
        <v>206.776269</v>
      </c>
      <c r="M424" s="25" t="n">
        <f aca="false">(B424-L424)/L424</f>
        <v>-0.130989180388007</v>
      </c>
    </row>
    <row r="425" customFormat="false" ht="15" hidden="false" customHeight="false" outlineLevel="0" collapsed="false">
      <c r="A425" s="22" t="n">
        <v>45993</v>
      </c>
      <c r="B425" s="23" t="n">
        <v>181.228853</v>
      </c>
      <c r="C425" s="23" t="n">
        <v>677.662</v>
      </c>
      <c r="D425" s="23" t="n">
        <v>620.417453</v>
      </c>
      <c r="E425" s="23" t="n">
        <v>215.24</v>
      </c>
      <c r="G425" s="25" t="n">
        <f aca="false">(B425-B424)/B424</f>
        <v>0.00855935791709777</v>
      </c>
      <c r="H425" s="25" t="n">
        <f aca="false">(C425-C424)/C424</f>
        <v>0.00185242952119212</v>
      </c>
      <c r="I425" s="25" t="n">
        <f aca="false">(D425-D424)/D424</f>
        <v>0.00782604454048006</v>
      </c>
      <c r="J425" s="25" t="n">
        <f aca="false">(E425-E424)/E424</f>
        <v>-0.0205678922460866</v>
      </c>
      <c r="L425" s="24" t="n">
        <f aca="false">MAX($B$2:B425)</f>
        <v>206.776269</v>
      </c>
      <c r="M425" s="25" t="n">
        <f aca="false">(B425-L425)/L425</f>
        <v>-0.123551005749117</v>
      </c>
    </row>
    <row r="426" customFormat="false" ht="15" hidden="false" customHeight="false" outlineLevel="0" collapsed="false">
      <c r="A426" s="22" t="n">
        <v>45994</v>
      </c>
      <c r="B426" s="23" t="n">
        <v>179.361235</v>
      </c>
      <c r="C426" s="23" t="n">
        <v>680.009</v>
      </c>
      <c r="D426" s="23" t="n">
        <v>621.933585</v>
      </c>
      <c r="E426" s="23" t="n">
        <v>217.6</v>
      </c>
      <c r="G426" s="25" t="n">
        <f aca="false">(B426-B425)/B425</f>
        <v>-0.0103053016618717</v>
      </c>
      <c r="H426" s="25" t="n">
        <f aca="false">(C426-C425)/C425</f>
        <v>0.00346337849842544</v>
      </c>
      <c r="I426" s="25" t="n">
        <f aca="false">(D426-D425)/D425</f>
        <v>0.00244372880335455</v>
      </c>
      <c r="J426" s="25" t="n">
        <f aca="false">(E426-E425)/E425</f>
        <v>0.010964504738896</v>
      </c>
      <c r="L426" s="24" t="n">
        <f aca="false">MAX($B$2:B426)</f>
        <v>206.776269</v>
      </c>
      <c r="M426" s="25" t="n">
        <f aca="false">(B426-L426)/L426</f>
        <v>-0.132583077026117</v>
      </c>
    </row>
    <row r="427" customFormat="false" ht="15" hidden="false" customHeight="false" outlineLevel="0" collapsed="false">
      <c r="A427" s="22" t="n">
        <v>45995</v>
      </c>
      <c r="B427" s="23" t="n">
        <v>183.156606</v>
      </c>
      <c r="C427" s="23" t="n">
        <v>680.506</v>
      </c>
      <c r="D427" s="23" t="n">
        <v>621.355061</v>
      </c>
      <c r="E427" s="23" t="n">
        <v>215.98</v>
      </c>
      <c r="G427" s="25" t="n">
        <f aca="false">(B427-B426)/B426</f>
        <v>0.0211604865454903</v>
      </c>
      <c r="H427" s="25" t="n">
        <f aca="false">(C427-C426)/C426</f>
        <v>0.000730872679626236</v>
      </c>
      <c r="I427" s="25" t="n">
        <f aca="false">(D427-D426)/D426</f>
        <v>-0.000930202217653218</v>
      </c>
      <c r="J427" s="25" t="n">
        <f aca="false">(E427-E426)/E426</f>
        <v>-0.00744485294117649</v>
      </c>
      <c r="L427" s="24" t="n">
        <f aca="false">MAX($B$2:B427)</f>
        <v>206.776269</v>
      </c>
      <c r="M427" s="25" t="n">
        <f aca="false">(B427-L427)/L427</f>
        <v>-0.114228112898197</v>
      </c>
    </row>
    <row r="428" customFormat="false" ht="15" hidden="false" customHeight="false" outlineLevel="0" collapsed="false">
      <c r="A428" s="22" t="n">
        <v>45996</v>
      </c>
      <c r="B428" s="23" t="n">
        <v>182.187788</v>
      </c>
      <c r="C428" s="23" t="n">
        <v>681.798</v>
      </c>
      <c r="D428" s="23" t="n">
        <v>623.888599</v>
      </c>
      <c r="E428" s="23" t="n">
        <v>217.97</v>
      </c>
      <c r="G428" s="25" t="n">
        <f aca="false">(B428-B427)/B427</f>
        <v>-0.00528956078166244</v>
      </c>
      <c r="H428" s="25" t="n">
        <f aca="false">(C428-C427)/C427</f>
        <v>0.0018985872277394</v>
      </c>
      <c r="I428" s="25" t="n">
        <f aca="false">(D428-D427)/D427</f>
        <v>0.00407744003231032</v>
      </c>
      <c r="J428" s="25" t="n">
        <f aca="false">(E428-E427)/E427</f>
        <v>0.00921381609408283</v>
      </c>
      <c r="L428" s="24" t="n">
        <f aca="false">MAX($B$2:B428)</f>
        <v>206.776269</v>
      </c>
      <c r="M428" s="25" t="n">
        <f aca="false">(B428-L428)/L428</f>
        <v>-0.11891345713371</v>
      </c>
    </row>
    <row r="429" customFormat="false" ht="15" hidden="false" customHeight="false" outlineLevel="0" collapsed="false">
      <c r="A429" s="22" t="n">
        <v>45999</v>
      </c>
      <c r="B429" s="23" t="n">
        <v>185.323962</v>
      </c>
      <c r="C429" s="23" t="n">
        <v>679.75</v>
      </c>
      <c r="D429" s="23" t="n">
        <v>622.691652</v>
      </c>
      <c r="E429" s="23" t="n">
        <v>221.11</v>
      </c>
      <c r="G429" s="25" t="n">
        <f aca="false">(B429-B428)/B428</f>
        <v>0.0172139638689723</v>
      </c>
      <c r="H429" s="25" t="n">
        <f aca="false">(C429-C428)/C428</f>
        <v>-0.00300382224647183</v>
      </c>
      <c r="I429" s="25" t="n">
        <f aca="false">(D429-D428)/D428</f>
        <v>-0.00191852680417393</v>
      </c>
      <c r="J429" s="25" t="n">
        <f aca="false">(E429-E428)/E428</f>
        <v>0.0144056521539662</v>
      </c>
      <c r="L429" s="24" t="n">
        <f aca="false">MAX($B$2:B429)</f>
        <v>206.776269</v>
      </c>
      <c r="M429" s="25" t="n">
        <f aca="false">(B429-L429)/L429</f>
        <v>-0.103746465219372</v>
      </c>
    </row>
    <row r="430" customFormat="false" ht="15" hidden="false" customHeight="false" outlineLevel="0" collapsed="false">
      <c r="A430" s="22" t="n">
        <v>46000</v>
      </c>
      <c r="B430" s="23" t="n">
        <v>184.744669</v>
      </c>
      <c r="C430" s="23" t="n">
        <v>679.164</v>
      </c>
      <c r="D430" s="23" t="n">
        <v>623.459693</v>
      </c>
      <c r="E430" s="23" t="n">
        <v>221.62</v>
      </c>
      <c r="G430" s="25" t="n">
        <f aca="false">(B430-B429)/B429</f>
        <v>-0.00312583971197425</v>
      </c>
      <c r="H430" s="25" t="n">
        <f aca="false">(C430-C429)/C429</f>
        <v>-0.000862081647664601</v>
      </c>
      <c r="I430" s="25" t="n">
        <f aca="false">(D430-D429)/D429</f>
        <v>0.00123342106407433</v>
      </c>
      <c r="J430" s="25" t="n">
        <f aca="false">(E430-E429)/E429</f>
        <v>0.00230654425399118</v>
      </c>
      <c r="L430" s="24" t="n">
        <f aca="false">MAX($B$2:B430)</f>
        <v>206.776269</v>
      </c>
      <c r="M430" s="25" t="n">
        <f aca="false">(B430-L430)/L430</f>
        <v>-0.106548010110387</v>
      </c>
    </row>
    <row r="431" customFormat="false" ht="15" hidden="false" customHeight="false" outlineLevel="0" collapsed="false">
      <c r="A431" s="22" t="n">
        <v>46001</v>
      </c>
      <c r="B431" s="23" t="n">
        <v>183.556119</v>
      </c>
      <c r="C431" s="23" t="n">
        <v>683.668</v>
      </c>
      <c r="D431" s="23" t="n">
        <v>626.013179</v>
      </c>
      <c r="E431" s="23" t="n">
        <v>221.42</v>
      </c>
      <c r="G431" s="25" t="n">
        <f aca="false">(B431-B430)/B430</f>
        <v>-0.00643347386657199</v>
      </c>
      <c r="H431" s="25" t="n">
        <f aca="false">(C431-C430)/C430</f>
        <v>0.00663168248022572</v>
      </c>
      <c r="I431" s="25" t="n">
        <f aca="false">(D431-D430)/D430</f>
        <v>0.00409567134599032</v>
      </c>
      <c r="J431" s="25" t="n">
        <f aca="false">(E431-E430)/E430</f>
        <v>-0.000902445627651011</v>
      </c>
      <c r="L431" s="24" t="n">
        <f aca="false">MAX($B$2:B431)</f>
        <v>206.776269</v>
      </c>
      <c r="M431" s="25" t="n">
        <f aca="false">(B431-L431)/L431</f>
        <v>-0.112296010138378</v>
      </c>
    </row>
    <row r="432" customFormat="false" ht="15" hidden="false" customHeight="false" outlineLevel="0" collapsed="false">
      <c r="A432" s="22" t="n">
        <v>46002</v>
      </c>
      <c r="B432" s="23" t="n">
        <v>180.709591</v>
      </c>
      <c r="C432" s="23" t="n">
        <v>685.259</v>
      </c>
      <c r="D432" s="23" t="n">
        <v>623.988344</v>
      </c>
      <c r="E432" s="23" t="n">
        <v>221.43</v>
      </c>
      <c r="G432" s="25" t="n">
        <f aca="false">(B432-B431)/B431</f>
        <v>-0.0155076715257856</v>
      </c>
      <c r="H432" s="25" t="n">
        <f aca="false">(C432-C431)/C431</f>
        <v>0.00232715294558179</v>
      </c>
      <c r="I432" s="25" t="n">
        <f aca="false">(D432-D431)/D431</f>
        <v>-0.00323449260802232</v>
      </c>
      <c r="J432" s="25" t="n">
        <f aca="false">(E432-E431)/E431</f>
        <v>4.51630385693222E-005</v>
      </c>
      <c r="L432" s="24" t="n">
        <f aca="false">MAX($B$2:B432)</f>
        <v>206.776269</v>
      </c>
      <c r="M432" s="25" t="n">
        <f aca="false">(B432-L432)/L432</f>
        <v>-0.126062232025282</v>
      </c>
    </row>
    <row r="433" customFormat="false" ht="15" hidden="false" customHeight="false" outlineLevel="0" collapsed="false">
      <c r="A433" s="22" t="n">
        <v>46003</v>
      </c>
      <c r="B433" s="23" t="n">
        <v>174.80679</v>
      </c>
      <c r="C433" s="23" t="n">
        <v>677.891</v>
      </c>
      <c r="D433" s="23" t="n">
        <v>612.058774</v>
      </c>
      <c r="E433" s="23" t="n">
        <v>210.78</v>
      </c>
      <c r="G433" s="25" t="n">
        <f aca="false">(B433-B432)/B432</f>
        <v>-0.0326645695302359</v>
      </c>
      <c r="H433" s="25" t="n">
        <f aca="false">(C433-C432)/C432</f>
        <v>-0.0107521389722719</v>
      </c>
      <c r="I433" s="25" t="n">
        <f aca="false">(D433-D432)/D432</f>
        <v>-0.0191182577602764</v>
      </c>
      <c r="J433" s="25" t="n">
        <f aca="false">(E433-E432)/E432</f>
        <v>-0.0480964638937814</v>
      </c>
      <c r="L433" s="24" t="n">
        <f aca="false">MAX($B$2:B433)</f>
        <v>206.776269</v>
      </c>
      <c r="M433" s="25" t="n">
        <f aca="false">(B433-L433)/L433</f>
        <v>-0.154609033012391</v>
      </c>
    </row>
    <row r="434" customFormat="false" ht="15" hidden="false" customHeight="false" outlineLevel="0" collapsed="false">
      <c r="A434" s="22" t="n">
        <v>46006</v>
      </c>
      <c r="B434" s="23" t="n">
        <v>176.075243</v>
      </c>
      <c r="C434" s="23" t="n">
        <v>676.867</v>
      </c>
      <c r="D434" s="23" t="n">
        <v>608.98661</v>
      </c>
      <c r="E434" s="23" t="n">
        <v>207.58</v>
      </c>
      <c r="G434" s="25" t="n">
        <f aca="false">(B434-B433)/B433</f>
        <v>0.00725631424271331</v>
      </c>
      <c r="H434" s="25" t="n">
        <f aca="false">(C434-C433)/C433</f>
        <v>-0.00151056733309633</v>
      </c>
      <c r="I434" s="25" t="n">
        <f aca="false">(D434-D433)/D433</f>
        <v>-0.00501939377475525</v>
      </c>
      <c r="J434" s="25" t="n">
        <f aca="false">(E434-E433)/E433</f>
        <v>-0.0151817060442167</v>
      </c>
      <c r="L434" s="24" t="n">
        <f aca="false">MAX($B$2:B434)</f>
        <v>206.776269</v>
      </c>
      <c r="M434" s="25" t="n">
        <f aca="false">(B434-L434)/L434</f>
        <v>-0.148474610497977</v>
      </c>
    </row>
    <row r="435" customFormat="false" ht="15" hidden="false" customHeight="false" outlineLevel="0" collapsed="false">
      <c r="A435" s="22" t="n">
        <v>46007</v>
      </c>
      <c r="B435" s="23" t="n">
        <v>177.503501</v>
      </c>
      <c r="C435" s="23" t="n">
        <v>675.017</v>
      </c>
      <c r="D435" s="23" t="n">
        <v>610.193532</v>
      </c>
      <c r="E435" s="23" t="n">
        <v>209.17</v>
      </c>
      <c r="G435" s="25" t="n">
        <f aca="false">(B435-B434)/B434</f>
        <v>0.00811163441075018</v>
      </c>
      <c r="H435" s="25" t="n">
        <f aca="false">(C435-C434)/C434</f>
        <v>-0.00273318096465023</v>
      </c>
      <c r="I435" s="25" t="n">
        <f aca="false">(D435-D434)/D434</f>
        <v>0.00198185309854344</v>
      </c>
      <c r="J435" s="25" t="n">
        <f aca="false">(E435-E434)/E434</f>
        <v>0.00765969746603707</v>
      </c>
      <c r="L435" s="24" t="n">
        <f aca="false">MAX($B$2:B435)</f>
        <v>206.776269</v>
      </c>
      <c r="M435" s="25" t="n">
        <f aca="false">(B435-L435)/L435</f>
        <v>-0.141567347846865</v>
      </c>
    </row>
    <row r="436" customFormat="false" ht="15" hidden="false" customHeight="false" outlineLevel="0" collapsed="false">
      <c r="A436" s="22" t="n">
        <v>46008</v>
      </c>
      <c r="B436" s="23" t="n">
        <v>170.73176</v>
      </c>
      <c r="C436" s="23" t="n">
        <v>667.59</v>
      </c>
      <c r="D436" s="23" t="n">
        <v>598.882384</v>
      </c>
      <c r="E436" s="23" t="n">
        <v>198.11</v>
      </c>
      <c r="G436" s="25" t="n">
        <f aca="false">(B436-B435)/B435</f>
        <v>-0.0381499010546276</v>
      </c>
      <c r="H436" s="25" t="n">
        <f aca="false">(C436-C435)/C435</f>
        <v>-0.0110026858582821</v>
      </c>
      <c r="I436" s="25" t="n">
        <f aca="false">(D436-D435)/D435</f>
        <v>-0.0185369844267704</v>
      </c>
      <c r="J436" s="25" t="n">
        <f aca="false">(E436-E435)/E435</f>
        <v>-0.0528756513840416</v>
      </c>
      <c r="L436" s="24" t="n">
        <f aca="false">MAX($B$2:B436)</f>
        <v>206.776269</v>
      </c>
      <c r="M436" s="25" t="n">
        <f aca="false">(B436-L436)/L436</f>
        <v>-0.174316468588569</v>
      </c>
    </row>
    <row r="437" customFormat="false" ht="15" hidden="false" customHeight="false" outlineLevel="0" collapsed="false">
      <c r="A437" s="22" t="n">
        <v>46009</v>
      </c>
      <c r="B437" s="23" t="n">
        <v>173.927862</v>
      </c>
      <c r="C437" s="23" t="n">
        <v>672.631</v>
      </c>
      <c r="D437" s="23" t="n">
        <v>607.560249</v>
      </c>
      <c r="E437" s="23" t="n">
        <v>201.06</v>
      </c>
      <c r="G437" s="25" t="n">
        <f aca="false">(B437-B436)/B436</f>
        <v>0.0187200202235366</v>
      </c>
      <c r="H437" s="25" t="n">
        <f aca="false">(C437-C436)/C436</f>
        <v>0.00755104180709708</v>
      </c>
      <c r="I437" s="25" t="n">
        <f aca="false">(D437-D436)/D436</f>
        <v>0.0144900989440357</v>
      </c>
      <c r="J437" s="25" t="n">
        <f aca="false">(E437-E436)/E436</f>
        <v>0.0148907172782797</v>
      </c>
      <c r="L437" s="24" t="n">
        <f aca="false">MAX($B$2:B437)</f>
        <v>206.776269</v>
      </c>
      <c r="M437" s="25" t="n">
        <f aca="false">(B437-L437)/L437</f>
        <v>-0.158859656182306</v>
      </c>
    </row>
    <row r="438" customFormat="false" ht="15" hidden="false" customHeight="false" outlineLevel="0" collapsed="false">
      <c r="A438" s="22" t="n">
        <v>46010</v>
      </c>
      <c r="B438" s="23" t="n">
        <v>180.769517</v>
      </c>
      <c r="C438" s="23" t="n">
        <v>678.709</v>
      </c>
      <c r="D438" s="23" t="n">
        <v>615.480047</v>
      </c>
      <c r="E438" s="23" t="n">
        <v>213.43</v>
      </c>
      <c r="G438" s="25" t="n">
        <f aca="false">(B438-B437)/B437</f>
        <v>0.039336164553095</v>
      </c>
      <c r="H438" s="25" t="n">
        <f aca="false">(C438-C437)/C437</f>
        <v>0.00903615801234254</v>
      </c>
      <c r="I438" s="25" t="n">
        <f aca="false">(D438-D437)/D437</f>
        <v>0.0130354117357668</v>
      </c>
      <c r="J438" s="25" t="n">
        <f aca="false">(E438-E437)/E437</f>
        <v>0.0615239232070029</v>
      </c>
      <c r="L438" s="24" t="n">
        <f aca="false">MAX($B$2:B438)</f>
        <v>206.776269</v>
      </c>
      <c r="M438" s="25" t="n">
        <f aca="false">(B438-L438)/L438</f>
        <v>-0.125772421205646</v>
      </c>
    </row>
    <row r="439" customFormat="false" ht="15" hidden="false" customHeight="false" outlineLevel="0" collapsed="false">
      <c r="A439" s="22" t="n">
        <v>46013</v>
      </c>
      <c r="B439" s="23" t="n">
        <v>183.466228</v>
      </c>
      <c r="C439" s="23" t="n">
        <v>682.938</v>
      </c>
      <c r="D439" s="23" t="n">
        <v>618.430408</v>
      </c>
      <c r="E439" s="23" t="n">
        <v>214.95</v>
      </c>
      <c r="G439" s="25" t="n">
        <f aca="false">(B439-B438)/B438</f>
        <v>0.0149179521235319</v>
      </c>
      <c r="H439" s="25" t="n">
        <f aca="false">(C439-C438)/C438</f>
        <v>0.00623094728374022</v>
      </c>
      <c r="I439" s="25" t="n">
        <f aca="false">(D439-D438)/D438</f>
        <v>0.00479359325193534</v>
      </c>
      <c r="J439" s="25" t="n">
        <f aca="false">(E439-E438)/E438</f>
        <v>0.00712177294663347</v>
      </c>
      <c r="L439" s="24" t="n">
        <f aca="false">MAX($B$2:B439)</f>
        <v>206.776269</v>
      </c>
      <c r="M439" s="25" t="n">
        <f aca="false">(B439-L439)/L439</f>
        <v>-0.112730736040121</v>
      </c>
    </row>
    <row r="440" customFormat="false" ht="15" hidden="false" customHeight="false" outlineLevel="0" collapsed="false">
      <c r="A440" s="22" t="n">
        <v>46014</v>
      </c>
      <c r="B440" s="23" t="n">
        <v>188.979504</v>
      </c>
      <c r="C440" s="23" t="n">
        <v>686.059</v>
      </c>
      <c r="D440" s="23" t="n">
        <v>621.326757</v>
      </c>
      <c r="E440" s="23" t="n">
        <v>214.9</v>
      </c>
      <c r="G440" s="25" t="n">
        <f aca="false">(B440-B439)/B439</f>
        <v>0.0300506314437336</v>
      </c>
      <c r="H440" s="25" t="n">
        <f aca="false">(C440-C439)/C439</f>
        <v>0.00456996096278137</v>
      </c>
      <c r="I440" s="25" t="n">
        <f aca="false">(D440-D439)/D439</f>
        <v>0.00468338710796379</v>
      </c>
      <c r="J440" s="25" t="n">
        <f aca="false">(E440-E439)/E439</f>
        <v>-0.000232612235403503</v>
      </c>
      <c r="L440" s="24" t="n">
        <f aca="false">MAX($B$2:B440)</f>
        <v>206.776269</v>
      </c>
      <c r="M440" s="25" t="n">
        <f aca="false">(B440-L440)/L440</f>
        <v>-0.0860677343975097</v>
      </c>
    </row>
    <row r="441" customFormat="false" ht="15" hidden="false" customHeight="false" outlineLevel="0" collapsed="false">
      <c r="A441" s="22" t="n">
        <v>46015</v>
      </c>
      <c r="B441" s="23" t="n">
        <v>188.380235</v>
      </c>
      <c r="C441" s="23" t="n">
        <v>688.472</v>
      </c>
      <c r="D441" s="23" t="n">
        <v>623.144465</v>
      </c>
      <c r="E441" s="23" t="n">
        <v>215.04</v>
      </c>
      <c r="G441" s="25" t="n">
        <f aca="false">(B441-B440)/B440</f>
        <v>-0.00317107933567226</v>
      </c>
      <c r="H441" s="25" t="n">
        <f aca="false">(C441-C440)/C440</f>
        <v>0.00351719021250361</v>
      </c>
      <c r="I441" s="25" t="n">
        <f aca="false">(D441-D440)/D440</f>
        <v>0.00292552667259415</v>
      </c>
      <c r="J441" s="25" t="n">
        <f aca="false">(E441-E440)/E440</f>
        <v>0.000651465798045539</v>
      </c>
      <c r="L441" s="24" t="n">
        <f aca="false">MAX($B$2:B441)</f>
        <v>206.776269</v>
      </c>
      <c r="M441" s="25" t="n">
        <f aca="false">(B441-L441)/L441</f>
        <v>-0.0889658861191659</v>
      </c>
    </row>
    <row r="442" customFormat="false" ht="15" hidden="false" customHeight="false" outlineLevel="0" collapsed="false">
      <c r="A442" s="22" t="n">
        <v>46017</v>
      </c>
      <c r="B442" s="23" t="n">
        <v>190.297896</v>
      </c>
      <c r="C442" s="23" t="n">
        <v>688.403</v>
      </c>
      <c r="D442" s="23" t="n">
        <v>623.104516</v>
      </c>
      <c r="E442" s="23" t="n">
        <v>214.99</v>
      </c>
      <c r="G442" s="25" t="n">
        <f aca="false">(B442-B441)/B441</f>
        <v>0.0101797356819308</v>
      </c>
      <c r="H442" s="25" t="n">
        <f aca="false">(C442-C441)/C441</f>
        <v>-0.000100221940761512</v>
      </c>
      <c r="I442" s="25" t="n">
        <f aca="false">(D442-D441)/D441</f>
        <v>-6.4108729586451E-005</v>
      </c>
      <c r="J442" s="25" t="n">
        <f aca="false">(E442-E441)/E441</f>
        <v>-0.000232514880952302</v>
      </c>
      <c r="L442" s="24" t="n">
        <f aca="false">MAX($B$2:B442)</f>
        <v>206.776269</v>
      </c>
      <c r="M442" s="25" t="n">
        <f aca="false">(B442-L442)/L442</f>
        <v>-0.079691799642637</v>
      </c>
    </row>
    <row r="443" customFormat="false" ht="15" hidden="false" customHeight="false" outlineLevel="0" collapsed="false">
      <c r="A443" s="22" t="n">
        <v>46020</v>
      </c>
      <c r="B443" s="23" t="n">
        <v>187.99071</v>
      </c>
      <c r="C443" s="23" t="n">
        <v>685.949</v>
      </c>
      <c r="D443" s="23" t="n">
        <v>620.088318</v>
      </c>
      <c r="E443" s="23" t="n">
        <v>215.61</v>
      </c>
      <c r="G443" s="25" t="n">
        <f aca="false">(B443-B442)/B442</f>
        <v>-0.0121240751920873</v>
      </c>
      <c r="H443" s="25" t="n">
        <f aca="false">(C443-C442)/C442</f>
        <v>-0.00356477237896997</v>
      </c>
      <c r="I443" s="25" t="n">
        <f aca="false">(D443-D442)/D442</f>
        <v>-0.00484059723938838</v>
      </c>
      <c r="J443" s="25" t="n">
        <f aca="false">(E443-E442)/E442</f>
        <v>0.00288385506302621</v>
      </c>
      <c r="L443" s="24" t="n">
        <f aca="false">MAX($B$2:B443)</f>
        <v>206.776269</v>
      </c>
      <c r="M443" s="25" t="n">
        <f aca="false">(B443-L443)/L443</f>
        <v>-0.0908496854636641</v>
      </c>
    </row>
    <row r="444" customFormat="false" ht="15" hidden="false" customHeight="false" outlineLevel="0" collapsed="false">
      <c r="A444" s="22" t="n">
        <v>46021</v>
      </c>
      <c r="B444" s="23" t="n">
        <v>187.311538</v>
      </c>
      <c r="C444" s="23" t="n">
        <v>685.112</v>
      </c>
      <c r="D444" s="23" t="n">
        <v>618.650131</v>
      </c>
      <c r="E444" s="23" t="n">
        <v>215.34</v>
      </c>
      <c r="G444" s="25" t="n">
        <f aca="false">(B444-B443)/B443</f>
        <v>-0.00361279554718419</v>
      </c>
      <c r="H444" s="25" t="n">
        <f aca="false">(C444-C443)/C443</f>
        <v>-0.00122020733319823</v>
      </c>
      <c r="I444" s="25" t="n">
        <f aca="false">(D444-D443)/D443</f>
        <v>-0.00231932606735541</v>
      </c>
      <c r="J444" s="25" t="n">
        <f aca="false">(E444-E443)/E443</f>
        <v>-0.00125226102685409</v>
      </c>
      <c r="L444" s="24" t="n">
        <f aca="false">MAX($B$2:B444)</f>
        <v>206.776269</v>
      </c>
      <c r="M444" s="25" t="n">
        <f aca="false">(B444-L444)/L444</f>
        <v>-0.0941342596717421</v>
      </c>
    </row>
    <row r="445" customFormat="false" ht="15" hidden="false" customHeight="false" outlineLevel="0" collapsed="false">
      <c r="A445" s="22" t="n">
        <v>46022</v>
      </c>
      <c r="B445" s="23" t="n">
        <v>186.272805</v>
      </c>
      <c r="C445" s="23" t="n">
        <v>680.036</v>
      </c>
      <c r="D445" s="23" t="n">
        <v>613.536577</v>
      </c>
      <c r="E445" s="23" t="n">
        <v>214.16</v>
      </c>
      <c r="G445" s="25" t="n">
        <f aca="false">(B445-B444)/B444</f>
        <v>-0.00554548326862816</v>
      </c>
      <c r="H445" s="25" t="n">
        <f aca="false">(C445-C444)/C444</f>
        <v>-0.00740900757832299</v>
      </c>
      <c r="I445" s="25" t="n">
        <f aca="false">(D445-D444)/D444</f>
        <v>-0.00826566381184525</v>
      </c>
      <c r="J445" s="25" t="n">
        <f aca="false">(E445-E444)/E444</f>
        <v>-0.00547970651063438</v>
      </c>
      <c r="L445" s="24" t="n">
        <f aca="false">MAX($B$2:B445)</f>
        <v>206.776269</v>
      </c>
      <c r="M445" s="25" t="n">
        <f aca="false">(B445-L445)/L445</f>
        <v>-0.0991577229783559</v>
      </c>
    </row>
    <row r="446" customFormat="false" ht="15" hidden="false" customHeight="false" outlineLevel="0" collapsed="false">
      <c r="A446" s="22" t="n">
        <v>46024</v>
      </c>
      <c r="B446" s="23" t="n">
        <v>188.619942</v>
      </c>
      <c r="C446" s="23" t="n">
        <v>681.282</v>
      </c>
      <c r="D446" s="23" t="n">
        <v>612.348075</v>
      </c>
      <c r="E446" s="23" t="n">
        <v>223.47</v>
      </c>
      <c r="G446" s="25" t="n">
        <f aca="false">(B446-B445)/B445</f>
        <v>0.0126005350056333</v>
      </c>
      <c r="H446" s="25" t="n">
        <f aca="false">(C446-C445)/C445</f>
        <v>0.00183225593939158</v>
      </c>
      <c r="I446" s="25" t="n">
        <f aca="false">(D446-D445)/D445</f>
        <v>-0.00193713308147229</v>
      </c>
      <c r="J446" s="25" t="n">
        <f aca="false">(E446-E445)/E445</f>
        <v>0.0434721703399328</v>
      </c>
      <c r="L446" s="24" t="n">
        <f aca="false">MAX($B$2:B446)</f>
        <v>206.776269</v>
      </c>
      <c r="M446" s="25" t="n">
        <f aca="false">(B446-L446)/L446</f>
        <v>-0.0878066283321903</v>
      </c>
    </row>
    <row r="447" customFormat="false" ht="15" hidden="false" customHeight="false" outlineLevel="0" collapsed="false">
      <c r="A447" s="22" t="n">
        <v>46027</v>
      </c>
      <c r="B447" s="23" t="n">
        <v>187.890832</v>
      </c>
      <c r="C447" s="23" t="n">
        <v>685.82</v>
      </c>
      <c r="D447" s="23" t="n">
        <v>617.211944</v>
      </c>
      <c r="E447" s="23" t="n">
        <v>221.08</v>
      </c>
      <c r="G447" s="25" t="n">
        <f aca="false">(B447-B446)/B446</f>
        <v>-0.00386549795461192</v>
      </c>
      <c r="H447" s="25" t="n">
        <f aca="false">(C447-C446)/C446</f>
        <v>0.00666097152133773</v>
      </c>
      <c r="I447" s="25" t="n">
        <f aca="false">(D447-D446)/D446</f>
        <v>0.00794298079568556</v>
      </c>
      <c r="J447" s="25" t="n">
        <f aca="false">(E447-E446)/E446</f>
        <v>-0.0106949478677227</v>
      </c>
      <c r="L447" s="24" t="n">
        <f aca="false">MAX($B$2:B447)</f>
        <v>206.776269</v>
      </c>
      <c r="M447" s="25" t="n">
        <f aca="false">(B447-L447)/L447</f>
        <v>-0.0913327099445828</v>
      </c>
    </row>
    <row r="448" customFormat="false" ht="15" hidden="false" customHeight="false" outlineLevel="0" collapsed="false">
      <c r="A448" s="22" t="n">
        <v>46028</v>
      </c>
      <c r="B448" s="23" t="n">
        <v>187.011904</v>
      </c>
      <c r="C448" s="23" t="n">
        <v>689.898</v>
      </c>
      <c r="D448" s="23" t="n">
        <v>622.635107</v>
      </c>
      <c r="E448" s="23" t="n">
        <v>214.35</v>
      </c>
      <c r="G448" s="25" t="n">
        <f aca="false">(B448-B447)/B447</f>
        <v>-0.0046778652829639</v>
      </c>
      <c r="H448" s="25" t="n">
        <f aca="false">(C448-C447)/C447</f>
        <v>0.0059461666326441</v>
      </c>
      <c r="I448" s="25" t="n">
        <f aca="false">(D448-D447)/D447</f>
        <v>0.00878654901726907</v>
      </c>
      <c r="J448" s="25" t="n">
        <f aca="false">(E448-E447)/E447</f>
        <v>-0.0304414691514385</v>
      </c>
      <c r="L448" s="24" t="n">
        <f aca="false">MAX($B$2:B448)</f>
        <v>206.776269</v>
      </c>
      <c r="M448" s="25" t="n">
        <f aca="false">(B448-L448)/L448</f>
        <v>-0.0955833331144979</v>
      </c>
    </row>
    <row r="449" customFormat="false" ht="15" hidden="false" customHeight="false" outlineLevel="0" collapsed="false">
      <c r="A449" s="22" t="n">
        <v>46029</v>
      </c>
      <c r="B449" s="23" t="n">
        <v>188.879626</v>
      </c>
      <c r="C449" s="23" t="n">
        <v>687.675</v>
      </c>
      <c r="D449" s="23" t="n">
        <v>623.234352</v>
      </c>
      <c r="E449" s="23" t="n">
        <v>210.02</v>
      </c>
      <c r="G449" s="25" t="n">
        <f aca="false">(B449-B448)/B448</f>
        <v>0.0099871824202165</v>
      </c>
      <c r="H449" s="25" t="n">
        <f aca="false">(C449-C448)/C448</f>
        <v>-0.00322221545793736</v>
      </c>
      <c r="I449" s="25" t="n">
        <f aca="false">(D449-D448)/D448</f>
        <v>0.000962433684292711</v>
      </c>
      <c r="J449" s="25" t="n">
        <f aca="false">(E449-E448)/E448</f>
        <v>-0.0202006064847212</v>
      </c>
      <c r="L449" s="24" t="n">
        <f aca="false">MAX($B$2:B449)</f>
        <v>206.776269</v>
      </c>
      <c r="M449" s="25" t="n">
        <f aca="false">(B449-L449)/L449</f>
        <v>-0.0865507588784282</v>
      </c>
    </row>
    <row r="450" customFormat="false" ht="15" hidden="false" customHeight="false" outlineLevel="0" collapsed="false">
      <c r="A450" s="22" t="n">
        <v>46030</v>
      </c>
      <c r="B450" s="23" t="n">
        <v>184.814584</v>
      </c>
      <c r="C450" s="23" t="n">
        <v>687.605</v>
      </c>
      <c r="D450" s="23" t="n">
        <v>619.688821</v>
      </c>
      <c r="E450" s="23" t="n">
        <v>204.68</v>
      </c>
      <c r="G450" s="25" t="n">
        <f aca="false">(B450-B449)/B449</f>
        <v>-0.0215218659952239</v>
      </c>
      <c r="H450" s="25" t="n">
        <f aca="false">(C450-C449)/C449</f>
        <v>-0.000101792271058184</v>
      </c>
      <c r="I450" s="25" t="n">
        <f aca="false">(D450-D449)/D449</f>
        <v>-0.00568892101120893</v>
      </c>
      <c r="J450" s="25" t="n">
        <f aca="false">(E450-E449)/E449</f>
        <v>-0.0254261498904866</v>
      </c>
      <c r="L450" s="24" t="n">
        <f aca="false">MAX($B$2:B450)</f>
        <v>206.776269</v>
      </c>
      <c r="M450" s="25" t="n">
        <f aca="false">(B450-L450)/L450</f>
        <v>-0.106209891039286</v>
      </c>
    </row>
    <row r="451" customFormat="false" ht="15" hidden="false" customHeight="false" outlineLevel="0" collapsed="false">
      <c r="A451" s="22" t="n">
        <v>46031</v>
      </c>
      <c r="B451" s="23" t="n">
        <v>184.634803</v>
      </c>
      <c r="C451" s="23" t="n">
        <v>692.152</v>
      </c>
      <c r="D451" s="23" t="n">
        <v>625.861041</v>
      </c>
      <c r="E451" s="23" t="n">
        <v>203.17</v>
      </c>
      <c r="G451" s="25" t="n">
        <f aca="false">(B451-B450)/B450</f>
        <v>-0.000972764140734647</v>
      </c>
      <c r="H451" s="25" t="n">
        <f aca="false">(C451-C450)/C450</f>
        <v>0.00661280822565285</v>
      </c>
      <c r="I451" s="25" t="n">
        <f aca="false">(D451-D450)/D450</f>
        <v>0.00996019258511045</v>
      </c>
      <c r="J451" s="25" t="n">
        <f aca="false">(E451-E450)/E450</f>
        <v>-0.00737736955247225</v>
      </c>
      <c r="L451" s="24" t="n">
        <f aca="false">MAX($B$2:B451)</f>
        <v>206.776269</v>
      </c>
      <c r="M451" s="25" t="n">
        <f aca="false">(B451-L451)/L451</f>
        <v>-0.107079338006626</v>
      </c>
    </row>
    <row r="452" customFormat="false" ht="15" hidden="false" customHeight="false" outlineLevel="0" collapsed="false">
      <c r="A452" s="22" t="n">
        <v>46034</v>
      </c>
      <c r="B452" s="23" t="n">
        <v>184.714706</v>
      </c>
      <c r="C452" s="23" t="n">
        <v>693.239</v>
      </c>
      <c r="D452" s="23" t="n">
        <v>626.380386</v>
      </c>
      <c r="E452" s="23" t="n">
        <v>207.69</v>
      </c>
      <c r="G452" s="25" t="n">
        <f aca="false">(B452-B451)/B451</f>
        <v>0.000432762397455487</v>
      </c>
      <c r="H452" s="25" t="n">
        <f aca="false">(C452-C451)/C451</f>
        <v>0.00157046429108056</v>
      </c>
      <c r="I452" s="25" t="n">
        <f aca="false">(D452-D451)/D451</f>
        <v>0.00082980880096041</v>
      </c>
      <c r="J452" s="25" t="n">
        <f aca="false">(E452-E451)/E451</f>
        <v>0.0222473790421815</v>
      </c>
      <c r="L452" s="24" t="n">
        <f aca="false">MAX($B$2:B452)</f>
        <v>206.776269</v>
      </c>
      <c r="M452" s="25" t="n">
        <f aca="false">(B452-L452)/L452</f>
        <v>-0.106692915520204</v>
      </c>
    </row>
    <row r="453" customFormat="false" ht="15" hidden="false" customHeight="false" outlineLevel="0" collapsed="false">
      <c r="A453" s="22" t="n">
        <v>46035</v>
      </c>
      <c r="B453" s="23" t="n">
        <v>185.583646</v>
      </c>
      <c r="C453" s="23" t="n">
        <v>691.853</v>
      </c>
      <c r="D453" s="23" t="n">
        <v>625.451557</v>
      </c>
      <c r="E453" s="23" t="n">
        <v>220.97</v>
      </c>
      <c r="G453" s="25" t="n">
        <f aca="false">(B453-B452)/B452</f>
        <v>0.00470422750205921</v>
      </c>
      <c r="H453" s="25" t="n">
        <f aca="false">(C453-C452)/C452</f>
        <v>-0.00199931048310912</v>
      </c>
      <c r="I453" s="25" t="n">
        <f aca="false">(D453-D452)/D452</f>
        <v>-0.00148285134841381</v>
      </c>
      <c r="J453" s="25" t="n">
        <f aca="false">(E453-E452)/E452</f>
        <v>0.0639414512013097</v>
      </c>
      <c r="L453" s="24" t="n">
        <f aca="false">MAX($B$2:B453)</f>
        <v>206.776269</v>
      </c>
      <c r="M453" s="25" t="n">
        <f aca="false">(B453-L453)/L453</f>
        <v>-0.10249059576561</v>
      </c>
    </row>
    <row r="454" customFormat="false" ht="15" hidden="false" customHeight="false" outlineLevel="0" collapsed="false">
      <c r="A454" s="22" t="n">
        <v>46036</v>
      </c>
      <c r="B454" s="23" t="n">
        <v>182.916898</v>
      </c>
      <c r="C454" s="23" t="n">
        <v>688.452</v>
      </c>
      <c r="D454" s="23" t="n">
        <v>618.76998</v>
      </c>
      <c r="E454" s="23" t="n">
        <v>223.6</v>
      </c>
      <c r="G454" s="25" t="n">
        <f aca="false">(B454-B453)/B453</f>
        <v>-0.0143695204694921</v>
      </c>
      <c r="H454" s="25" t="n">
        <f aca="false">(C454-C453)/C453</f>
        <v>-0.00491578413333462</v>
      </c>
      <c r="I454" s="25" t="n">
        <f aca="false">(D454-D453)/D453</f>
        <v>-0.0106828049674196</v>
      </c>
      <c r="J454" s="25" t="n">
        <f aca="false">(E454-E453)/E453</f>
        <v>0.011902068154048</v>
      </c>
      <c r="L454" s="24" t="n">
        <f aca="false">MAX($B$2:B454)</f>
        <v>206.776269</v>
      </c>
      <c r="M454" s="25" t="n">
        <f aca="false">(B454-L454)/L454</f>
        <v>-0.115387375521318</v>
      </c>
    </row>
    <row r="455" customFormat="false" ht="15" hidden="false" customHeight="false" outlineLevel="0" collapsed="false">
      <c r="A455" s="22" t="n">
        <v>46037</v>
      </c>
      <c r="B455" s="23" t="n">
        <v>186.822135</v>
      </c>
      <c r="C455" s="23" t="n">
        <v>690.327</v>
      </c>
      <c r="D455" s="23" t="n">
        <v>620.997172</v>
      </c>
      <c r="E455" s="23" t="n">
        <v>227.92</v>
      </c>
      <c r="G455" s="25" t="n">
        <f aca="false">(B455-B454)/B454</f>
        <v>0.0213497880332521</v>
      </c>
      <c r="H455" s="25" t="n">
        <f aca="false">(C455-C454)/C454</f>
        <v>0.00272350142057834</v>
      </c>
      <c r="I455" s="25" t="n">
        <f aca="false">(D455-D454)/D454</f>
        <v>0.00359938599477619</v>
      </c>
      <c r="J455" s="25" t="n">
        <f aca="false">(E455-E454)/E454</f>
        <v>0.0193202146690518</v>
      </c>
      <c r="L455" s="24" t="n">
        <f aca="false">MAX($B$2:B455)</f>
        <v>206.776269</v>
      </c>
      <c r="M455" s="25" t="n">
        <f aca="false">(B455-L455)/L455</f>
        <v>-0.096501083497159</v>
      </c>
    </row>
    <row r="456" customFormat="false" ht="15" hidden="false" customHeight="false" outlineLevel="0" collapsed="false">
      <c r="A456" s="22" t="n">
        <v>46038</v>
      </c>
      <c r="B456" s="23" t="n">
        <v>186.003134</v>
      </c>
      <c r="C456" s="23" t="n">
        <v>689.749</v>
      </c>
      <c r="D456" s="23" t="n">
        <v>620.477827</v>
      </c>
      <c r="E456" s="23" t="n">
        <v>231.83</v>
      </c>
      <c r="G456" s="25" t="n">
        <f aca="false">(B456-B455)/B455</f>
        <v>-0.00438385419372289</v>
      </c>
      <c r="H456" s="25" t="n">
        <f aca="false">(C456-C455)/C455</f>
        <v>-0.000837284359441213</v>
      </c>
      <c r="I456" s="25" t="n">
        <f aca="false">(D456-D455)/D455</f>
        <v>-0.00083630815632753</v>
      </c>
      <c r="J456" s="25" t="n">
        <f aca="false">(E456-E455)/E455</f>
        <v>0.0171551421551423</v>
      </c>
      <c r="L456" s="24" t="n">
        <f aca="false">MAX($B$2:B456)</f>
        <v>206.776269</v>
      </c>
      <c r="M456" s="25" t="n">
        <f aca="false">(B456-L456)/L456</f>
        <v>-0.100461891011294</v>
      </c>
    </row>
    <row r="457" customFormat="false" ht="15" hidden="false" customHeight="false" outlineLevel="0" collapsed="false">
      <c r="A457" s="22" t="n">
        <v>46042</v>
      </c>
      <c r="B457" s="23" t="n">
        <v>177.853075</v>
      </c>
      <c r="C457" s="23" t="n">
        <v>675.708</v>
      </c>
      <c r="D457" s="23" t="n">
        <v>607.294446</v>
      </c>
      <c r="E457" s="23" t="n">
        <v>231.92</v>
      </c>
      <c r="G457" s="25" t="n">
        <f aca="false">(B457-B456)/B456</f>
        <v>-0.0438167832161366</v>
      </c>
      <c r="H457" s="25" t="n">
        <f aca="false">(C457-C456)/C456</f>
        <v>-0.0203566804736216</v>
      </c>
      <c r="I457" s="25" t="n">
        <f aca="false">(D457-D456)/D456</f>
        <v>-0.0212471428088599</v>
      </c>
      <c r="J457" s="25" t="n">
        <f aca="false">(E457-E456)/E456</f>
        <v>0.000388215502738968</v>
      </c>
      <c r="L457" s="24" t="n">
        <f aca="false">MAX($B$2:B457)</f>
        <v>206.776269</v>
      </c>
      <c r="M457" s="25" t="n">
        <f aca="false">(B457-L457)/L457</f>
        <v>-0.139876757327506</v>
      </c>
    </row>
    <row r="458" customFormat="false" ht="15" hidden="false" customHeight="false" outlineLevel="0" collapsed="false">
      <c r="A458" s="22" t="n">
        <v>46043</v>
      </c>
      <c r="B458" s="23" t="n">
        <v>183.096679</v>
      </c>
      <c r="C458" s="23" t="n">
        <v>683.506</v>
      </c>
      <c r="D458" s="23" t="n">
        <v>615.504097</v>
      </c>
      <c r="E458" s="23" t="n">
        <v>249.8</v>
      </c>
      <c r="G458" s="25" t="n">
        <f aca="false">(B458-B457)/B457</f>
        <v>0.0294827851584799</v>
      </c>
      <c r="H458" s="25" t="n">
        <f aca="false">(C458-C457)/C457</f>
        <v>0.0115404879030587</v>
      </c>
      <c r="I458" s="25" t="n">
        <f aca="false">(D458-D457)/D457</f>
        <v>0.0135184029000654</v>
      </c>
      <c r="J458" s="25" t="n">
        <f aca="false">(E458-E457)/E457</f>
        <v>0.0770955501897207</v>
      </c>
      <c r="L458" s="24" t="n">
        <f aca="false">MAX($B$2:B458)</f>
        <v>206.776269</v>
      </c>
      <c r="M458" s="25" t="n">
        <f aca="false">(B458-L458)/L458</f>
        <v>-0.114517928553977</v>
      </c>
    </row>
    <row r="459" customFormat="false" ht="15" hidden="false" customHeight="false" outlineLevel="0" collapsed="false">
      <c r="A459" s="22" t="n">
        <v>46044</v>
      </c>
      <c r="B459" s="23" t="n">
        <v>184.614827</v>
      </c>
      <c r="C459" s="23" t="n">
        <v>687.076</v>
      </c>
      <c r="D459" s="23" t="n">
        <v>619.978456</v>
      </c>
      <c r="E459" s="23" t="n">
        <v>253.73</v>
      </c>
      <c r="G459" s="25" t="n">
        <f aca="false">(B459-B458)/B458</f>
        <v>0.00829151030095962</v>
      </c>
      <c r="H459" s="25" t="n">
        <f aca="false">(C459-C458)/C458</f>
        <v>0.00522307046317084</v>
      </c>
      <c r="I459" s="25" t="n">
        <f aca="false">(D459-D458)/D458</f>
        <v>0.00726942196129695</v>
      </c>
      <c r="J459" s="25" t="n">
        <f aca="false">(E459-E458)/E458</f>
        <v>0.015732586068855</v>
      </c>
      <c r="L459" s="24" t="n">
        <f aca="false">MAX($B$2:B459)</f>
        <v>206.776269</v>
      </c>
      <c r="M459" s="25" t="n">
        <f aca="false">(B459-L459)/L459</f>
        <v>-0.107175944837268</v>
      </c>
    </row>
    <row r="460" customFormat="false" ht="15" hidden="false" customHeight="false" outlineLevel="0" collapsed="false">
      <c r="A460" s="22" t="n">
        <v>46045</v>
      </c>
      <c r="B460" s="23" t="n">
        <v>187.44138</v>
      </c>
      <c r="C460" s="23" t="n">
        <v>687.326</v>
      </c>
      <c r="D460" s="23" t="n">
        <v>621.935989</v>
      </c>
      <c r="E460" s="23" t="n">
        <v>259.68</v>
      </c>
      <c r="G460" s="25" t="n">
        <f aca="false">(B460-B459)/B459</f>
        <v>0.015310541660882</v>
      </c>
      <c r="H460" s="25" t="n">
        <f aca="false">(C460-C459)/C459</f>
        <v>0.000363860766494536</v>
      </c>
      <c r="I460" s="25" t="n">
        <f aca="false">(D460-D459)/D459</f>
        <v>0.00315742100560975</v>
      </c>
      <c r="J460" s="25" t="n">
        <f aca="false">(E460-E459)/E459</f>
        <v>0.0234501241477161</v>
      </c>
      <c r="L460" s="24" t="n">
        <f aca="false">MAX($B$2:B460)</f>
        <v>206.776269</v>
      </c>
      <c r="M460" s="25" t="n">
        <f aca="false">(B460-L460)/L460</f>
        <v>-0.0935063249448611</v>
      </c>
    </row>
    <row r="461" customFormat="false" ht="15" hidden="false" customHeight="false" outlineLevel="0" collapsed="false">
      <c r="A461" s="22" t="n">
        <v>46048</v>
      </c>
      <c r="B461" s="23" t="n">
        <v>186.242842</v>
      </c>
      <c r="C461" s="23" t="n">
        <v>690.816</v>
      </c>
      <c r="D461" s="23" t="n">
        <v>624.672539</v>
      </c>
      <c r="E461" s="23" t="n">
        <v>251.31</v>
      </c>
      <c r="G461" s="25" t="n">
        <f aca="false">(B461-B460)/B460</f>
        <v>-0.00639420174990183</v>
      </c>
      <c r="H461" s="25" t="n">
        <f aca="false">(C461-C460)/C460</f>
        <v>0.00507764874310009</v>
      </c>
      <c r="I461" s="25" t="n">
        <f aca="false">(D461-D460)/D460</f>
        <v>0.00440005088690901</v>
      </c>
      <c r="J461" s="25" t="n">
        <f aca="false">(E461-E460)/E460</f>
        <v>-0.032231977818854</v>
      </c>
      <c r="L461" s="24" t="n">
        <f aca="false">MAX($B$2:B461)</f>
        <v>206.776269</v>
      </c>
      <c r="M461" s="25" t="n">
        <f aca="false">(B461-L461)/L461</f>
        <v>-0.0993026283881736</v>
      </c>
    </row>
    <row r="462" customFormat="false" ht="15" hidden="false" customHeight="false" outlineLevel="0" collapsed="false">
      <c r="A462" s="22" t="n">
        <v>46049</v>
      </c>
      <c r="B462" s="23" t="n">
        <v>188.290344</v>
      </c>
      <c r="C462" s="23" t="n">
        <v>693.568</v>
      </c>
      <c r="D462" s="23" t="n">
        <v>630.3354</v>
      </c>
      <c r="E462" s="23" t="n">
        <v>252.03</v>
      </c>
      <c r="G462" s="25" t="n">
        <f aca="false">(B462-B461)/B461</f>
        <v>0.010993721841938</v>
      </c>
      <c r="H462" s="25" t="n">
        <f aca="false">(C462-C461)/C461</f>
        <v>0.00398369464517318</v>
      </c>
      <c r="I462" s="25" t="n">
        <f aca="false">(D462-D461)/D461</f>
        <v>0.0090653272658109</v>
      </c>
      <c r="J462" s="25" t="n">
        <f aca="false">(E462-E461)/E461</f>
        <v>0.00286498746567983</v>
      </c>
      <c r="L462" s="24" t="n">
        <f aca="false">MAX($B$2:B462)</f>
        <v>206.776269</v>
      </c>
      <c r="M462" s="25" t="n">
        <f aca="false">(B462-L462)/L462</f>
        <v>-0.0894006120209085</v>
      </c>
    </row>
    <row r="463" customFormat="false" ht="15" hidden="false" customHeight="false" outlineLevel="0" collapsed="false">
      <c r="A463" s="22" t="n">
        <v>46050</v>
      </c>
      <c r="B463" s="23" t="n">
        <v>191.28669</v>
      </c>
      <c r="C463" s="23" t="n">
        <v>693.499</v>
      </c>
      <c r="D463" s="23" t="n">
        <v>632.422769</v>
      </c>
      <c r="E463" s="23" t="n">
        <v>252.74</v>
      </c>
      <c r="G463" s="25" t="n">
        <f aca="false">(B463-B462)/B462</f>
        <v>0.0159134342013842</v>
      </c>
      <c r="H463" s="25" t="n">
        <f aca="false">(C463-C462)/C462</f>
        <v>-9.94855587339093E-005</v>
      </c>
      <c r="I463" s="25" t="n">
        <f aca="false">(D463-D462)/D462</f>
        <v>0.00331152113620775</v>
      </c>
      <c r="J463" s="25" t="n">
        <f aca="false">(E463-E462)/E462</f>
        <v>0.00281712494544303</v>
      </c>
      <c r="L463" s="24" t="n">
        <f aca="false">MAX($B$2:B463)</f>
        <v>206.776269</v>
      </c>
      <c r="M463" s="25" t="n">
        <f aca="false">(B463-L463)/L463</f>
        <v>-0.0749098485764825</v>
      </c>
    </row>
    <row r="464" customFormat="false" ht="15" hidden="false" customHeight="false" outlineLevel="0" collapsed="false">
      <c r="A464" s="22" t="n">
        <v>46051</v>
      </c>
      <c r="B464" s="23" t="n">
        <v>192.275484</v>
      </c>
      <c r="C464" s="23" t="n">
        <v>692.122</v>
      </c>
      <c r="D464" s="23" t="n">
        <v>628.637541</v>
      </c>
      <c r="E464" s="23" t="n">
        <v>252.18</v>
      </c>
      <c r="G464" s="25" t="n">
        <f aca="false">(B464-B463)/B463</f>
        <v>0.00516917303551027</v>
      </c>
      <c r="H464" s="25" t="n">
        <f aca="false">(C464-C463)/C463</f>
        <v>-0.00198558325246333</v>
      </c>
      <c r="I464" s="25" t="n">
        <f aca="false">(D464-D463)/D463</f>
        <v>-0.00598528102646469</v>
      </c>
      <c r="J464" s="25" t="n">
        <f aca="false">(E464-E463)/E463</f>
        <v>-0.00221571575532168</v>
      </c>
      <c r="L464" s="24" t="n">
        <f aca="false">MAX($B$2:B464)</f>
        <v>206.776269</v>
      </c>
      <c r="M464" s="25" t="n">
        <f aca="false">(B464-L464)/L464</f>
        <v>-0.070127897510328</v>
      </c>
    </row>
    <row r="465" customFormat="false" ht="15" hidden="false" customHeight="false" outlineLevel="0" collapsed="false">
      <c r="A465" s="22" t="n">
        <v>46052</v>
      </c>
      <c r="B465" s="23" t="n">
        <v>190.897165</v>
      </c>
      <c r="C465" s="23" t="n">
        <v>690.058</v>
      </c>
      <c r="D465" s="23" t="n">
        <v>621.087059</v>
      </c>
      <c r="E465" s="23" t="n">
        <v>236.73</v>
      </c>
      <c r="G465" s="25" t="n">
        <f aca="false">(B465-B464)/B464</f>
        <v>-0.00716845939651882</v>
      </c>
      <c r="H465" s="25" t="n">
        <f aca="false">(C465-C464)/C464</f>
        <v>-0.00298213320772922</v>
      </c>
      <c r="I465" s="25" t="n">
        <f aca="false">(D465-D464)/D464</f>
        <v>-0.0120108671651859</v>
      </c>
      <c r="J465" s="25" t="n">
        <f aca="false">(E465-E464)/E464</f>
        <v>-0.0612657625505592</v>
      </c>
      <c r="L465" s="24" t="n">
        <f aca="false">MAX($B$2:B465)</f>
        <v>206.776269</v>
      </c>
      <c r="M465" s="25" t="n">
        <f aca="false">(B465-L465)/L465</f>
        <v>-0.0767936479209808</v>
      </c>
    </row>
    <row r="466" customFormat="false" ht="15" hidden="false" customHeight="false" outlineLevel="0" collapsed="false">
      <c r="A466" s="22" t="n">
        <v>46055</v>
      </c>
      <c r="B466" s="23" t="n">
        <v>185.383889</v>
      </c>
      <c r="C466" s="23" t="n">
        <v>693.489</v>
      </c>
      <c r="D466" s="23" t="n">
        <v>625.351683</v>
      </c>
      <c r="E466" s="23" t="n">
        <v>246.27</v>
      </c>
      <c r="G466" s="25" t="n">
        <f aca="false">(B466-B465)/B465</f>
        <v>-0.0288808689222807</v>
      </c>
      <c r="H466" s="25" t="n">
        <f aca="false">(C466-C465)/C465</f>
        <v>0.00497204582803191</v>
      </c>
      <c r="I466" s="25" t="n">
        <f aca="false">(D466-D465)/D465</f>
        <v>0.0068663868264562</v>
      </c>
      <c r="J466" s="25" t="n">
        <f aca="false">(E466-E465)/E465</f>
        <v>0.0402990748954506</v>
      </c>
      <c r="L466" s="24" t="n">
        <f aca="false">MAX($B$2:B466)</f>
        <v>206.776269</v>
      </c>
      <c r="M466" s="25" t="n">
        <f aca="false">(B466-L466)/L466</f>
        <v>-0.103456649563592</v>
      </c>
    </row>
    <row r="467" customFormat="false" ht="15" hidden="false" customHeight="false" outlineLevel="0" collapsed="false">
      <c r="A467" s="22" t="n">
        <v>46056</v>
      </c>
      <c r="B467" s="23" t="n">
        <v>180.120309</v>
      </c>
      <c r="C467" s="23" t="n">
        <v>687.625</v>
      </c>
      <c r="D467" s="23" t="n">
        <v>615.743794</v>
      </c>
      <c r="E467" s="23" t="n">
        <v>242.11</v>
      </c>
      <c r="G467" s="25" t="n">
        <f aca="false">(B467-B466)/B466</f>
        <v>-0.0283928664372772</v>
      </c>
      <c r="H467" s="25" t="n">
        <f aca="false">(C467-C466)/C466</f>
        <v>-0.00845579381936849</v>
      </c>
      <c r="I467" s="25" t="n">
        <f aca="false">(D467-D466)/D466</f>
        <v>-0.0153639772006498</v>
      </c>
      <c r="J467" s="25" t="n">
        <f aca="false">(E467-E466)/E466</f>
        <v>-0.0168920290737808</v>
      </c>
      <c r="L467" s="24" t="n">
        <f aca="false">MAX($B$2:B467)</f>
        <v>206.776269</v>
      </c>
      <c r="M467" s="25" t="n">
        <f aca="false">(B467-L467)/L467</f>
        <v>-0.128912085167762</v>
      </c>
    </row>
    <row r="468" customFormat="false" ht="15" hidden="false" customHeight="false" outlineLevel="0" collapsed="false">
      <c r="A468" s="22" t="n">
        <v>46057</v>
      </c>
      <c r="B468" s="23" t="n">
        <v>173.977801</v>
      </c>
      <c r="C468" s="23" t="n">
        <v>684.294</v>
      </c>
      <c r="D468" s="23" t="n">
        <v>604.987354</v>
      </c>
      <c r="E468" s="23" t="n">
        <v>200.19</v>
      </c>
      <c r="G468" s="25" t="n">
        <f aca="false">(B468-B467)/B467</f>
        <v>-0.0341022510682013</v>
      </c>
      <c r="H468" s="25" t="n">
        <f aca="false">(C468-C467)/C467</f>
        <v>-0.00484421014361028</v>
      </c>
      <c r="I468" s="25" t="n">
        <f aca="false">(D468-D467)/D467</f>
        <v>-0.0174690189406927</v>
      </c>
      <c r="J468" s="25" t="n">
        <f aca="false">(E468-E467)/E467</f>
        <v>-0.173144438478378</v>
      </c>
      <c r="L468" s="24" t="n">
        <f aca="false">MAX($B$2:B468)</f>
        <v>206.776269</v>
      </c>
      <c r="M468" s="25" t="n">
        <f aca="false">(B468-L468)/L468</f>
        <v>-0.158618143941847</v>
      </c>
    </row>
    <row r="469" customFormat="false" ht="15" hidden="false" customHeight="false" outlineLevel="0" collapsed="false">
      <c r="A469" s="22" t="n">
        <v>46058</v>
      </c>
      <c r="B469" s="23" t="n">
        <v>171.670615</v>
      </c>
      <c r="C469" s="23" t="n">
        <v>675.748</v>
      </c>
      <c r="D469" s="23" t="n">
        <v>596.278333</v>
      </c>
      <c r="E469" s="23" t="n">
        <v>192.5</v>
      </c>
      <c r="G469" s="25" t="n">
        <f aca="false">(B469-B468)/B468</f>
        <v>-0.0132613815483275</v>
      </c>
      <c r="H469" s="25" t="n">
        <f aca="false">(C469-C468)/C468</f>
        <v>-0.0124887840606522</v>
      </c>
      <c r="I469" s="25" t="n">
        <f aca="false">(D469-D468)/D468</f>
        <v>-0.0143953769321268</v>
      </c>
      <c r="J469" s="25" t="n">
        <f aca="false">(E469-E468)/E468</f>
        <v>-0.0384135071681902</v>
      </c>
      <c r="L469" s="24" t="n">
        <f aca="false">MAX($B$2:B469)</f>
        <v>206.776269</v>
      </c>
      <c r="M469" s="25" t="n">
        <f aca="false">(B469-L469)/L469</f>
        <v>-0.169776029762874</v>
      </c>
    </row>
    <row r="470" customFormat="false" ht="15" hidden="false" customHeight="false" outlineLevel="0" collapsed="false">
      <c r="A470" s="22" t="n">
        <v>46059</v>
      </c>
      <c r="B470" s="23" t="n">
        <v>185.184133</v>
      </c>
      <c r="C470" s="23" t="n">
        <v>688.712</v>
      </c>
      <c r="D470" s="23" t="n">
        <v>608.882444</v>
      </c>
      <c r="E470" s="23" t="n">
        <v>208.44</v>
      </c>
      <c r="G470" s="25" t="n">
        <f aca="false">(B470-B469)/B469</f>
        <v>0.0787177118227252</v>
      </c>
      <c r="H470" s="25" t="n">
        <f aca="false">(C470-C469)/C469</f>
        <v>0.0191846664733006</v>
      </c>
      <c r="I470" s="25" t="n">
        <f aca="false">(D470-D469)/D469</f>
        <v>0.0211379657828352</v>
      </c>
      <c r="J470" s="25" t="n">
        <f aca="false">(E470-E469)/E469</f>
        <v>0.0828051948051948</v>
      </c>
      <c r="L470" s="24" t="n">
        <f aca="false">MAX($B$2:B470)</f>
        <v>206.776269</v>
      </c>
      <c r="M470" s="25" t="n">
        <f aca="false">(B470-L470)/L470</f>
        <v>-0.104422698525429</v>
      </c>
    </row>
    <row r="471" customFormat="false" ht="15" hidden="false" customHeight="false" outlineLevel="0" collapsed="false">
      <c r="A471" s="22" t="n">
        <v>46062</v>
      </c>
      <c r="B471" s="23" t="n">
        <v>189.808493</v>
      </c>
      <c r="C471" s="23" t="n">
        <v>692.033</v>
      </c>
      <c r="D471" s="23" t="n">
        <v>613.546564</v>
      </c>
      <c r="E471" s="23" t="n">
        <v>216</v>
      </c>
      <c r="G471" s="25" t="n">
        <f aca="false">(B471-B470)/B470</f>
        <v>0.0249716858841248</v>
      </c>
      <c r="H471" s="25" t="n">
        <f aca="false">(C471-C470)/C470</f>
        <v>0.00482204462823361</v>
      </c>
      <c r="I471" s="25" t="n">
        <f aca="false">(D471-D470)/D470</f>
        <v>0.00766013217487352</v>
      </c>
      <c r="J471" s="25" t="n">
        <f aca="false">(E471-E470)/E470</f>
        <v>0.0362694300518135</v>
      </c>
      <c r="L471" s="24" t="n">
        <f aca="false">MAX($B$2:B471)</f>
        <v>206.776269</v>
      </c>
      <c r="M471" s="25" t="n">
        <f aca="false">(B471-L471)/L471</f>
        <v>-0.0820586234680538</v>
      </c>
    </row>
    <row r="472" customFormat="false" ht="15" hidden="false" customHeight="false" outlineLevel="0" collapsed="false">
      <c r="A472" s="22" t="n">
        <v>46063</v>
      </c>
      <c r="B472" s="23" t="n">
        <v>188.31032</v>
      </c>
      <c r="C472" s="23" t="n">
        <v>690.208</v>
      </c>
      <c r="D472" s="23" t="n">
        <v>610.700152</v>
      </c>
      <c r="E472" s="23" t="n">
        <v>213.57</v>
      </c>
      <c r="G472" s="25" t="n">
        <f aca="false">(B472-B471)/B471</f>
        <v>-0.0078930767339268</v>
      </c>
      <c r="H472" s="25" t="n">
        <f aca="false">(C472-C471)/C471</f>
        <v>-0.00263715747659439</v>
      </c>
      <c r="I472" s="25" t="n">
        <f aca="false">(D472-D471)/D471</f>
        <v>-0.00463927624570641</v>
      </c>
      <c r="J472" s="25" t="n">
        <f aca="false">(E472-E471)/E471</f>
        <v>-0.01125</v>
      </c>
      <c r="L472" s="24" t="n">
        <f aca="false">MAX($B$2:B472)</f>
        <v>206.776269</v>
      </c>
      <c r="M472" s="25" t="n">
        <f aca="false">(B472-L472)/L472</f>
        <v>-0.0893040051902669</v>
      </c>
    </row>
    <row r="473" customFormat="false" ht="15" hidden="false" customHeight="false" outlineLevel="0" collapsed="false">
      <c r="A473" s="22" t="n">
        <v>46064</v>
      </c>
      <c r="B473" s="23" t="n">
        <v>189.818481</v>
      </c>
      <c r="C473" s="23" t="n">
        <v>690.048</v>
      </c>
      <c r="D473" s="23" t="n">
        <v>612.338088</v>
      </c>
      <c r="E473" s="23" t="n">
        <v>213.58</v>
      </c>
      <c r="G473" s="25" t="n">
        <f aca="false">(B473-B472)/B472</f>
        <v>0.00800891315993729</v>
      </c>
      <c r="H473" s="25" t="n">
        <f aca="false">(C473-C472)/C472</f>
        <v>-0.000231814177755065</v>
      </c>
      <c r="I473" s="25" t="n">
        <f aca="false">(D473-D472)/D472</f>
        <v>0.00268206253860564</v>
      </c>
      <c r="J473" s="25" t="n">
        <f aca="false">(E473-E472)/E472</f>
        <v>4.68230556727037E-005</v>
      </c>
      <c r="L473" s="24" t="n">
        <f aca="false">MAX($B$2:B473)</f>
        <v>206.776269</v>
      </c>
      <c r="M473" s="25" t="n">
        <f aca="false">(B473-L473)/L473</f>
        <v>-0.082010320052733</v>
      </c>
    </row>
    <row r="474" customFormat="false" ht="15" hidden="false" customHeight="false" outlineLevel="0" collapsed="false">
      <c r="A474" s="22" t="n">
        <v>46065</v>
      </c>
      <c r="B474" s="23" t="n">
        <v>186.712269</v>
      </c>
      <c r="C474" s="23" t="n">
        <v>679.388</v>
      </c>
      <c r="D474" s="23" t="n">
        <v>599.883788</v>
      </c>
      <c r="E474" s="23" t="n">
        <v>205.94</v>
      </c>
      <c r="G474" s="25" t="n">
        <f aca="false">(B474-B473)/B473</f>
        <v>-0.0163641178858659</v>
      </c>
      <c r="H474" s="25" t="n">
        <f aca="false">(C474-C473)/C473</f>
        <v>-0.0154482007048785</v>
      </c>
      <c r="I474" s="25" t="n">
        <f aca="false">(D474-D473)/D473</f>
        <v>-0.0203389275370373</v>
      </c>
      <c r="J474" s="25" t="n">
        <f aca="false">(E474-E473)/E473</f>
        <v>-0.0357711396198147</v>
      </c>
      <c r="L474" s="24" t="n">
        <f aca="false">MAX($B$2:B474)</f>
        <v>206.776269</v>
      </c>
      <c r="M474" s="25" t="n">
        <f aca="false">(B474-L474)/L474</f>
        <v>-0.0970324113933984</v>
      </c>
    </row>
    <row r="475" customFormat="false" ht="15" hidden="false" customHeight="false" outlineLevel="0" collapsed="false">
      <c r="A475" s="22" t="n">
        <v>46066</v>
      </c>
      <c r="B475" s="23" t="n">
        <v>182.5873</v>
      </c>
      <c r="C475" s="23" t="n">
        <v>679.866</v>
      </c>
      <c r="D475" s="23" t="n">
        <v>601.162176</v>
      </c>
      <c r="E475" s="23" t="n">
        <v>207.32</v>
      </c>
      <c r="G475" s="25" t="n">
        <f aca="false">(B475-B474)/B474</f>
        <v>-0.0220926510190929</v>
      </c>
      <c r="H475" s="25" t="n">
        <f aca="false">(C475-C474)/C474</f>
        <v>0.000703574393424599</v>
      </c>
      <c r="I475" s="25" t="n">
        <f aca="false">(D475-D474)/D474</f>
        <v>0.00213105942446317</v>
      </c>
      <c r="J475" s="25" t="n">
        <f aca="false">(E475-E474)/E474</f>
        <v>0.00670098086821402</v>
      </c>
      <c r="L475" s="24" t="n">
        <f aca="false">MAX($B$2:B475)</f>
        <v>206.776269</v>
      </c>
      <c r="M475" s="25" t="n">
        <f aca="false">(B475-L475)/L475</f>
        <v>-0.116981359210036</v>
      </c>
    </row>
    <row r="476" customFormat="false" ht="15" hidden="false" customHeight="false" outlineLevel="0" collapsed="false">
      <c r="A476" s="22" t="n">
        <v>46070</v>
      </c>
      <c r="B476" s="23" t="n">
        <v>184.744669</v>
      </c>
      <c r="C476" s="23" t="n">
        <v>680.963</v>
      </c>
      <c r="D476" s="23" t="n">
        <v>600.542957</v>
      </c>
      <c r="E476" s="23" t="n">
        <v>203.08</v>
      </c>
      <c r="G476" s="25" t="n">
        <f aca="false">(B476-B475)/B475</f>
        <v>0.0118155479597978</v>
      </c>
      <c r="H476" s="25" t="n">
        <f aca="false">(C476-C475)/C475</f>
        <v>0.00161355325902454</v>
      </c>
      <c r="I476" s="25" t="n">
        <f aca="false">(D476-D475)/D475</f>
        <v>-0.00103003652711518</v>
      </c>
      <c r="J476" s="25" t="n">
        <f aca="false">(E476-E475)/E475</f>
        <v>-0.0204514759791626</v>
      </c>
      <c r="L476" s="24" t="n">
        <f aca="false">MAX($B$2:B476)</f>
        <v>206.776269</v>
      </c>
      <c r="M476" s="25" t="n">
        <f aca="false">(B476-L476)/L476</f>
        <v>-0.106548010110387</v>
      </c>
    </row>
    <row r="477" customFormat="false" ht="15" hidden="false" customHeight="false" outlineLevel="0" collapsed="false">
      <c r="A477" s="22" t="n">
        <v>46071</v>
      </c>
      <c r="B477" s="23" t="n">
        <v>187.751002</v>
      </c>
      <c r="C477" s="23" t="n">
        <v>684.394</v>
      </c>
      <c r="D477" s="23" t="n">
        <v>605.027304</v>
      </c>
      <c r="E477" s="23" t="n">
        <v>200.12</v>
      </c>
      <c r="G477" s="25" t="n">
        <f aca="false">(B477-B476)/B476</f>
        <v>0.0162729079884844</v>
      </c>
      <c r="H477" s="25" t="n">
        <f aca="false">(C477-C476)/C476</f>
        <v>0.00503845289685349</v>
      </c>
      <c r="I477" s="25" t="n">
        <f aca="false">(D477-D476)/D476</f>
        <v>0.00746715442705618</v>
      </c>
      <c r="J477" s="25" t="n">
        <f aca="false">(E477-E476)/E476</f>
        <v>-0.0145755367342919</v>
      </c>
      <c r="L477" s="24" t="n">
        <f aca="false">MAX($B$2:B477)</f>
        <v>206.776269</v>
      </c>
      <c r="M477" s="25" t="n">
        <f aca="false">(B477-L477)/L477</f>
        <v>-0.0920089480867846</v>
      </c>
    </row>
    <row r="478" customFormat="false" ht="15" hidden="false" customHeight="false" outlineLevel="0" collapsed="false">
      <c r="A478" s="22" t="n">
        <v>46072</v>
      </c>
      <c r="B478" s="23" t="n">
        <v>187.6711</v>
      </c>
      <c r="C478" s="23" t="n">
        <v>682.589</v>
      </c>
      <c r="D478" s="23" t="n">
        <v>602.710225</v>
      </c>
      <c r="E478" s="23" t="n">
        <v>203.37</v>
      </c>
      <c r="G478" s="25" t="n">
        <f aca="false">(B478-B477)/B477</f>
        <v>-0.000425574293339879</v>
      </c>
      <c r="H478" s="25" t="n">
        <f aca="false">(C478-C477)/C477</f>
        <v>-0.00263736970224746</v>
      </c>
      <c r="I478" s="25" t="n">
        <f aca="false">(D478-D477)/D477</f>
        <v>-0.00382970980760882</v>
      </c>
      <c r="J478" s="25" t="n">
        <f aca="false">(E478-E477)/E477</f>
        <v>0.0162402558464921</v>
      </c>
      <c r="L478" s="24" t="n">
        <f aca="false">MAX($B$2:B478)</f>
        <v>206.776269</v>
      </c>
      <c r="M478" s="25" t="n">
        <f aca="false">(B478-L478)/L478</f>
        <v>-0.0923953657370615</v>
      </c>
    </row>
    <row r="479" customFormat="false" ht="15" hidden="false" customHeight="false" outlineLevel="0" collapsed="false">
      <c r="A479" s="22" t="n">
        <v>46073</v>
      </c>
      <c r="B479" s="23" t="n">
        <v>189.588761</v>
      </c>
      <c r="C479" s="23" t="n">
        <v>687.525</v>
      </c>
      <c r="D479" s="23" t="n">
        <v>608.043501</v>
      </c>
      <c r="E479" s="23" t="n">
        <v>200.15</v>
      </c>
      <c r="G479" s="25" t="n">
        <f aca="false">(B479-B478)/B478</f>
        <v>0.0102182008844197</v>
      </c>
      <c r="H479" s="25" t="n">
        <f aca="false">(C479-C478)/C478</f>
        <v>0.00723129145063856</v>
      </c>
      <c r="I479" s="25" t="n">
        <f aca="false">(D479-D478)/D478</f>
        <v>0.00884882283190061</v>
      </c>
      <c r="J479" s="25" t="n">
        <f aca="false">(E479-E478)/E478</f>
        <v>-0.0158332104046811</v>
      </c>
      <c r="L479" s="24" t="n">
        <f aca="false">MAX($B$2:B479)</f>
        <v>206.776269</v>
      </c>
      <c r="M479" s="25" t="n">
        <f aca="false">(B479-L479)/L479</f>
        <v>-0.0831212792605326</v>
      </c>
    </row>
    <row r="480" customFormat="false" ht="15" hidden="false" customHeight="false" outlineLevel="0" collapsed="false">
      <c r="A480" s="22" t="n">
        <v>46076</v>
      </c>
      <c r="B480" s="23" t="n">
        <v>191.316653</v>
      </c>
      <c r="C480" s="23" t="n">
        <v>680.505</v>
      </c>
      <c r="D480" s="23" t="n">
        <v>600.652818</v>
      </c>
      <c r="E480" s="23" t="n">
        <v>196.6</v>
      </c>
      <c r="G480" s="25" t="n">
        <f aca="false">(B480-B479)/B479</f>
        <v>0.00911389467859858</v>
      </c>
      <c r="H480" s="25" t="n">
        <f aca="false">(C480-C479)/C479</f>
        <v>-0.0102105377986255</v>
      </c>
      <c r="I480" s="25" t="n">
        <f aca="false">(D480-D479)/D479</f>
        <v>-0.0121548589662501</v>
      </c>
      <c r="J480" s="25" t="n">
        <f aca="false">(E480-E479)/E479</f>
        <v>-0.0177366974768924</v>
      </c>
      <c r="L480" s="24" t="n">
        <f aca="false">MAX($B$2:B480)</f>
        <v>206.776269</v>
      </c>
      <c r="M480" s="25" t="n">
        <f aca="false">(B480-L480)/L480</f>
        <v>-0.0747649431666649</v>
      </c>
    </row>
    <row r="481" customFormat="false" ht="15" hidden="false" customHeight="false" outlineLevel="0" collapsed="false">
      <c r="A481" s="22" t="n">
        <v>46077</v>
      </c>
      <c r="B481" s="23" t="n">
        <v>192.61507</v>
      </c>
      <c r="C481" s="23" t="n">
        <v>685.451</v>
      </c>
      <c r="D481" s="23" t="n">
        <v>607.104685</v>
      </c>
      <c r="E481" s="23" t="n">
        <v>213.84</v>
      </c>
      <c r="G481" s="25" t="n">
        <f aca="false">(B481-B480)/B480</f>
        <v>0.00678674323243571</v>
      </c>
      <c r="H481" s="25" t="n">
        <f aca="false">(C481-C480)/C480</f>
        <v>0.00726813175509368</v>
      </c>
      <c r="I481" s="25" t="n">
        <f aca="false">(D481-D480)/D480</f>
        <v>0.0107414246743782</v>
      </c>
      <c r="J481" s="25" t="n">
        <f aca="false">(E481-E480)/E480</f>
        <v>0.0876907426246186</v>
      </c>
      <c r="L481" s="24" t="n">
        <f aca="false">MAX($B$2:B481)</f>
        <v>206.776269</v>
      </c>
      <c r="M481" s="25" t="n">
        <f aca="false">(B481-L481)/L481</f>
        <v>-0.068485610406289</v>
      </c>
    </row>
    <row r="482" customFormat="false" ht="15" hidden="false" customHeight="false" outlineLevel="0" collapsed="false">
      <c r="A482" s="22" t="n">
        <v>46078</v>
      </c>
      <c r="B482" s="23" t="n">
        <v>195.321768</v>
      </c>
      <c r="C482" s="23" t="n">
        <v>691.235</v>
      </c>
      <c r="D482" s="23" t="n">
        <v>615.903593</v>
      </c>
      <c r="E482" s="23" t="n">
        <v>210.86</v>
      </c>
      <c r="G482" s="25" t="n">
        <f aca="false">(B482-B481)/B481</f>
        <v>0.0140523687995959</v>
      </c>
      <c r="H482" s="25" t="n">
        <f aca="false">(C482-C481)/C481</f>
        <v>0.00843823993254075</v>
      </c>
      <c r="I482" s="25" t="n">
        <f aca="false">(D482-D481)/D481</f>
        <v>0.0144932302737871</v>
      </c>
      <c r="J482" s="25" t="n">
        <f aca="false">(E482-E481)/E481</f>
        <v>-0.0139356528245417</v>
      </c>
      <c r="L482" s="24" t="n">
        <f aca="false">MAX($B$2:B482)</f>
        <v>206.776269</v>
      </c>
      <c r="M482" s="25" t="n">
        <f aca="false">(B482-L482)/L482</f>
        <v>-0.0553956266615877</v>
      </c>
    </row>
    <row r="483" customFormat="false" ht="15" hidden="false" customHeight="false" outlineLevel="0" collapsed="false">
      <c r="A483" s="22" t="n">
        <v>46079</v>
      </c>
      <c r="B483" s="23" t="n">
        <v>184.664767</v>
      </c>
      <c r="C483" s="23" t="n">
        <v>687.395</v>
      </c>
      <c r="D483" s="23" t="n">
        <v>608.47296</v>
      </c>
      <c r="E483" s="23" t="n">
        <v>203.68</v>
      </c>
      <c r="G483" s="25" t="n">
        <f aca="false">(B483-B482)/B482</f>
        <v>-0.054561256070547</v>
      </c>
      <c r="H483" s="25" t="n">
        <f aca="false">(C483-C482)/C482</f>
        <v>-0.00555527425549926</v>
      </c>
      <c r="I483" s="25" t="n">
        <f aca="false">(D483-D482)/D482</f>
        <v>-0.0120646040783855</v>
      </c>
      <c r="J483" s="25" t="n">
        <f aca="false">(E483-E482)/E482</f>
        <v>-0.0340510291188467</v>
      </c>
      <c r="L483" s="24" t="n">
        <f aca="false">MAX($B$2:B483)</f>
        <v>206.776269</v>
      </c>
      <c r="M483" s="25" t="n">
        <f aca="false">(B483-L483)/L483</f>
        <v>-0.106934427760663</v>
      </c>
    </row>
    <row r="484" customFormat="false" ht="15" hidden="false" customHeight="false" outlineLevel="0" collapsed="false">
      <c r="A484" s="22" t="n">
        <v>46080</v>
      </c>
      <c r="B484" s="23" t="n">
        <v>176.974147</v>
      </c>
      <c r="C484" s="23" t="n">
        <v>684.095</v>
      </c>
      <c r="D484" s="23" t="n">
        <v>606.525415</v>
      </c>
      <c r="E484" s="23" t="n">
        <v>200.21</v>
      </c>
      <c r="G484" s="25" t="n">
        <f aca="false">(B484-B483)/B483</f>
        <v>-0.0416463850952143</v>
      </c>
      <c r="H484" s="25" t="n">
        <f aca="false">(C484-C483)/C483</f>
        <v>-0.0048007332028891</v>
      </c>
      <c r="I484" s="25" t="n">
        <f aca="false">(D484-D483)/D483</f>
        <v>-0.00320070919831835</v>
      </c>
      <c r="J484" s="25" t="n">
        <f aca="false">(E484-E483)/E483</f>
        <v>-0.0170365278868814</v>
      </c>
      <c r="L484" s="24" t="n">
        <f aca="false">MAX($B$2:B484)</f>
        <v>206.776269</v>
      </c>
      <c r="M484" s="25" t="n">
        <f aca="false">(B484-L484)/L484</f>
        <v>-0.144127380497421</v>
      </c>
    </row>
    <row r="485" customFormat="false" ht="15" hidden="false" customHeight="false" outlineLevel="0" collapsed="false">
      <c r="A485" s="22" t="n">
        <v>46083</v>
      </c>
      <c r="B485" s="23" t="n">
        <v>182.257702</v>
      </c>
      <c r="C485" s="23" t="n">
        <v>684.483</v>
      </c>
      <c r="D485" s="23" t="n">
        <v>607.324408</v>
      </c>
      <c r="E485" s="23" t="n">
        <v>198.62</v>
      </c>
      <c r="G485" s="25" t="n">
        <f aca="false">(B485-B484)/B484</f>
        <v>0.0298549538990009</v>
      </c>
      <c r="H485" s="25" t="n">
        <f aca="false">(C485-C484)/C484</f>
        <v>0.000567172688003742</v>
      </c>
      <c r="I485" s="25" t="n">
        <f aca="false">(D485-D484)/D484</f>
        <v>0.00131732814526823</v>
      </c>
      <c r="J485" s="25" t="n">
        <f aca="false">(E485-E484)/E484</f>
        <v>-0.00794166125568155</v>
      </c>
      <c r="L485" s="24" t="n">
        <f aca="false">MAX($B$2:B485)</f>
        <v>206.776269</v>
      </c>
      <c r="M485" s="25" t="n">
        <f aca="false">(B485-L485)/L485</f>
        <v>-0.118575342898754</v>
      </c>
    </row>
    <row r="486" customFormat="false" ht="15" hidden="false" customHeight="false" outlineLevel="0" collapsed="false">
      <c r="A486" s="22" t="n">
        <v>46084</v>
      </c>
      <c r="B486" s="23" t="n">
        <v>179.830663</v>
      </c>
      <c r="C486" s="23" t="n">
        <v>678.45</v>
      </c>
      <c r="D486" s="23" t="n">
        <v>600.822604</v>
      </c>
      <c r="E486" s="23" t="n">
        <v>190.95</v>
      </c>
      <c r="G486" s="25" t="n">
        <f aca="false">(B486-B485)/B485</f>
        <v>-0.0133165236550607</v>
      </c>
      <c r="H486" s="25" t="n">
        <f aca="false">(C486-C485)/C485</f>
        <v>-0.00881395155175498</v>
      </c>
      <c r="I486" s="25" t="n">
        <f aca="false">(D486-D485)/D485</f>
        <v>-0.0107056523899826</v>
      </c>
      <c r="J486" s="25" t="n">
        <f aca="false">(E486-E485)/E485</f>
        <v>-0.0386164535293526</v>
      </c>
      <c r="L486" s="24" t="n">
        <f aca="false">MAX($B$2:B486)</f>
        <v>206.776269</v>
      </c>
      <c r="M486" s="25" t="n">
        <f aca="false">(B486-L486)/L486</f>
        <v>-0.130312855195197</v>
      </c>
    </row>
    <row r="487" customFormat="false" ht="15" hidden="false" customHeight="false" outlineLevel="0" collapsed="false">
      <c r="A487" s="22" t="n">
        <v>46085</v>
      </c>
      <c r="B487" s="23" t="n">
        <v>182.81702</v>
      </c>
      <c r="C487" s="23" t="n">
        <v>683.237</v>
      </c>
      <c r="D487" s="23" t="n">
        <v>609.981059</v>
      </c>
      <c r="E487" s="23" t="n">
        <v>202.07</v>
      </c>
      <c r="G487" s="25" t="n">
        <f aca="false">(B487-B486)/B486</f>
        <v>0.0166064949668791</v>
      </c>
      <c r="H487" s="25" t="n">
        <f aca="false">(C487-C486)/C486</f>
        <v>0.00705578893065063</v>
      </c>
      <c r="I487" s="25" t="n">
        <f aca="false">(D487-D486)/D486</f>
        <v>0.0152431931472405</v>
      </c>
      <c r="J487" s="25" t="n">
        <f aca="false">(E487-E486)/E486</f>
        <v>0.0582351400890286</v>
      </c>
      <c r="L487" s="24" t="n">
        <f aca="false">MAX($B$2:B487)</f>
        <v>206.776269</v>
      </c>
      <c r="M487" s="25" t="n">
        <f aca="false">(B487-L487)/L487</f>
        <v>-0.115870400002236</v>
      </c>
    </row>
    <row r="488" customFormat="false" ht="15" hidden="false" customHeight="false" outlineLevel="0" collapsed="false">
      <c r="A488" s="22" t="n">
        <v>46086</v>
      </c>
      <c r="B488" s="23" t="n">
        <v>183.116655</v>
      </c>
      <c r="C488" s="23" t="n">
        <v>679.428</v>
      </c>
      <c r="D488" s="23" t="n">
        <v>608.143376</v>
      </c>
      <c r="E488" s="23" t="n">
        <v>199.45</v>
      </c>
      <c r="G488" s="25" t="n">
        <f aca="false">(B488-B487)/B487</f>
        <v>0.00163898853618769</v>
      </c>
      <c r="H488" s="25" t="n">
        <f aca="false">(C488-C487)/C487</f>
        <v>-0.00557493227093961</v>
      </c>
      <c r="I488" s="25" t="n">
        <f aca="false">(D488-D487)/D487</f>
        <v>-0.00301268862841849</v>
      </c>
      <c r="J488" s="25" t="n">
        <f aca="false">(E488-E487)/E487</f>
        <v>-0.0129658039293314</v>
      </c>
      <c r="L488" s="24" t="n">
        <f aca="false">MAX($B$2:B488)</f>
        <v>206.776269</v>
      </c>
      <c r="M488" s="25" t="n">
        <f aca="false">(B488-L488)/L488</f>
        <v>-0.114421321723336</v>
      </c>
    </row>
    <row r="489" customFormat="false" ht="15" hidden="false" customHeight="false" outlineLevel="0" collapsed="false">
      <c r="A489" s="22" t="n">
        <v>46087</v>
      </c>
      <c r="B489" s="23" t="n">
        <v>177.603379</v>
      </c>
      <c r="C489" s="23" t="n">
        <v>670.522</v>
      </c>
      <c r="D489" s="23" t="n">
        <v>598.994908</v>
      </c>
      <c r="E489" s="23" t="n">
        <v>192.43</v>
      </c>
      <c r="G489" s="25" t="n">
        <f aca="false">(B489-B488)/B488</f>
        <v>-0.030107998641631</v>
      </c>
      <c r="H489" s="25" t="n">
        <f aca="false">(C489-C488)/C488</f>
        <v>-0.0131080850362363</v>
      </c>
      <c r="I489" s="25" t="n">
        <f aca="false">(D489-D488)/D488</f>
        <v>-0.0150432749266679</v>
      </c>
      <c r="J489" s="25" t="n">
        <f aca="false">(E489-E488)/E488</f>
        <v>-0.0351967911757332</v>
      </c>
      <c r="L489" s="24" t="n">
        <f aca="false">MAX($B$2:B489)</f>
        <v>206.776269</v>
      </c>
      <c r="M489" s="25" t="n">
        <f aca="false">(B489-L489)/L489</f>
        <v>-0.141084323365947</v>
      </c>
    </row>
    <row r="490" customFormat="false" ht="15" hidden="false" customHeight="false" outlineLevel="0" collapsed="false">
      <c r="A490" s="22" t="n">
        <v>46090</v>
      </c>
      <c r="B490" s="23" t="n">
        <v>182.427495</v>
      </c>
      <c r="C490" s="23" t="n">
        <v>676.396</v>
      </c>
      <c r="D490" s="23" t="n">
        <v>606.994823</v>
      </c>
      <c r="E490" s="23" t="n">
        <v>202.68</v>
      </c>
      <c r="G490" s="25" t="n">
        <f aca="false">(B490-B489)/B489</f>
        <v>0.0271622985281153</v>
      </c>
      <c r="H490" s="25" t="n">
        <f aca="false">(C490-C489)/C489</f>
        <v>0.00876033895979537</v>
      </c>
      <c r="I490" s="25" t="n">
        <f aca="false">(D490-D489)/D489</f>
        <v>0.0133555642846967</v>
      </c>
      <c r="J490" s="25" t="n">
        <f aca="false">(E490-E489)/E489</f>
        <v>0.0532661227459336</v>
      </c>
      <c r="L490" s="24" t="n">
        <f aca="false">MAX($B$2:B490)</f>
        <v>206.776269</v>
      </c>
      <c r="M490" s="25" t="n">
        <f aca="false">(B490-L490)/L490</f>
        <v>-0.117754199346735</v>
      </c>
    </row>
    <row r="491" customFormat="false" ht="15" hidden="false" customHeight="false" outlineLevel="0" collapsed="false">
      <c r="A491" s="22" t="n">
        <v>46091</v>
      </c>
      <c r="B491" s="23" t="n">
        <v>184.544913</v>
      </c>
      <c r="C491" s="23" t="n">
        <v>675.309</v>
      </c>
      <c r="D491" s="23" t="n">
        <v>607.004811</v>
      </c>
      <c r="E491" s="23" t="n">
        <v>203.23</v>
      </c>
      <c r="G491" s="25" t="n">
        <f aca="false">(B491-B490)/B490</f>
        <v>0.0116069016899016</v>
      </c>
      <c r="H491" s="25" t="n">
        <f aca="false">(C491-C490)/C490</f>
        <v>-0.00160704675959052</v>
      </c>
      <c r="I491" s="25" t="n">
        <f aca="false">(D491-D490)/D490</f>
        <v>1.64548355629405E-005</v>
      </c>
      <c r="J491" s="25" t="n">
        <f aca="false">(E491-E490)/E490</f>
        <v>0.00271363726070645</v>
      </c>
      <c r="L491" s="24" t="n">
        <f aca="false">MAX($B$2:B491)</f>
        <v>206.776269</v>
      </c>
      <c r="M491" s="25" t="n">
        <f aca="false">(B491-L491)/L491</f>
        <v>-0.107514059072224</v>
      </c>
    </row>
    <row r="492" customFormat="false" ht="15" hidden="false" customHeight="false" outlineLevel="0" collapsed="false">
      <c r="A492" s="22" t="n">
        <v>46092</v>
      </c>
      <c r="B492" s="23" t="n">
        <v>185.813434</v>
      </c>
      <c r="C492" s="23" t="n">
        <v>674.461</v>
      </c>
      <c r="D492" s="23" t="n">
        <v>606.924912</v>
      </c>
      <c r="E492" s="23" t="n">
        <v>204.83</v>
      </c>
      <c r="G492" s="25" t="n">
        <f aca="false">(B492-B491)/B491</f>
        <v>0.00687377928428725</v>
      </c>
      <c r="H492" s="25" t="n">
        <f aca="false">(C492-C491)/C491</f>
        <v>-0.00125572145491909</v>
      </c>
      <c r="I492" s="25" t="n">
        <f aca="false">(D492-D491)/D491</f>
        <v>-0.00013162828127909</v>
      </c>
      <c r="J492" s="25" t="n">
        <f aca="false">(E492-E491)/E491</f>
        <v>0.00787285341731055</v>
      </c>
      <c r="L492" s="24" t="n">
        <f aca="false">MAX($B$2:B492)</f>
        <v>206.776269</v>
      </c>
      <c r="M492" s="25" t="n">
        <f aca="false">(B492-L492)/L492</f>
        <v>-0.101379307699957</v>
      </c>
    </row>
    <row r="493" customFormat="false" ht="15" hidden="false" customHeight="false" outlineLevel="0" collapsed="false">
      <c r="A493" s="22" t="n">
        <v>46093</v>
      </c>
      <c r="B493" s="23" t="n">
        <v>182.926799</v>
      </c>
      <c r="C493" s="23" t="n">
        <v>664.22</v>
      </c>
      <c r="D493" s="23" t="n">
        <v>596.508043</v>
      </c>
      <c r="E493" s="23" t="n">
        <v>197.74</v>
      </c>
      <c r="G493" s="25" t="n">
        <f aca="false">(B493-B492)/B492</f>
        <v>-0.0155351254097161</v>
      </c>
      <c r="H493" s="25" t="n">
        <f aca="false">(C493-C492)/C492</f>
        <v>-0.0151839765383024</v>
      </c>
      <c r="I493" s="25" t="n">
        <f aca="false">(D493-D492)/D492</f>
        <v>-0.0171633571040496</v>
      </c>
      <c r="J493" s="25" t="n">
        <f aca="false">(E493-E492)/E492</f>
        <v>-0.0346140702045599</v>
      </c>
      <c r="L493" s="24" t="n">
        <f aca="false">MAX($B$2:B493)</f>
        <v>206.776269</v>
      </c>
      <c r="M493" s="25" t="n">
        <f aca="false">(B493-L493)/L493</f>
        <v>-0.115339492850604</v>
      </c>
    </row>
    <row r="494" customFormat="false" ht="15" hidden="false" customHeight="false" outlineLevel="0" collapsed="false">
      <c r="A494" s="22" t="n">
        <v>46094</v>
      </c>
      <c r="B494" s="23" t="n">
        <v>180.040163</v>
      </c>
      <c r="C494" s="23" t="n">
        <v>660.46</v>
      </c>
      <c r="D494" s="23" t="n">
        <v>592.9725</v>
      </c>
      <c r="E494" s="23" t="n">
        <v>193.39</v>
      </c>
      <c r="G494" s="25" t="n">
        <f aca="false">(B494-B493)/B493</f>
        <v>-0.0157802794111101</v>
      </c>
      <c r="H494" s="25" t="n">
        <f aca="false">(C494-C493)/C493</f>
        <v>-0.00566077504441298</v>
      </c>
      <c r="I494" s="25" t="n">
        <f aca="false">(D494-D493)/D493</f>
        <v>-0.00592706677049797</v>
      </c>
      <c r="J494" s="25" t="n">
        <f aca="false">(E494-E493)/E493</f>
        <v>-0.021998583999191</v>
      </c>
      <c r="L494" s="24" t="n">
        <f aca="false">MAX($B$2:B494)</f>
        <v>206.776269</v>
      </c>
      <c r="M494" s="25" t="n">
        <f aca="false">(B494-L494)/L494</f>
        <v>-0.129299682837396</v>
      </c>
    </row>
    <row r="495" customFormat="false" ht="15" hidden="false" customHeight="false" outlineLevel="0" collapsed="false">
      <c r="A495" s="22" t="n">
        <v>46097</v>
      </c>
      <c r="B495" s="23" t="n">
        <v>183.006705</v>
      </c>
      <c r="C495" s="23" t="n">
        <v>667.181</v>
      </c>
      <c r="D495" s="23" t="n">
        <v>599.624115</v>
      </c>
      <c r="E495" s="23" t="n">
        <v>196.58</v>
      </c>
      <c r="G495" s="25" t="n">
        <f aca="false">(B495-B494)/B494</f>
        <v>0.0164771123874177</v>
      </c>
      <c r="H495" s="25" t="n">
        <f aca="false">(C495-C494)/C494</f>
        <v>0.0101762408018654</v>
      </c>
      <c r="I495" s="25" t="n">
        <f aca="false">(D495-D494)/D494</f>
        <v>0.0112174089017619</v>
      </c>
      <c r="J495" s="25" t="n">
        <f aca="false">(E495-E494)/E494</f>
        <v>0.0164951652101971</v>
      </c>
      <c r="L495" s="24" t="n">
        <f aca="false">MAX($B$2:B495)</f>
        <v>206.776269</v>
      </c>
      <c r="M495" s="25" t="n">
        <f aca="false">(B495-L495)/L495</f>
        <v>-0.114953055855747</v>
      </c>
    </row>
    <row r="496" customFormat="false" ht="15" hidden="false" customHeight="false" outlineLevel="0" collapsed="false">
      <c r="A496" s="22" t="n">
        <v>46098</v>
      </c>
      <c r="B496" s="23" t="n">
        <v>181.718207</v>
      </c>
      <c r="C496" s="23" t="n">
        <v>668.937</v>
      </c>
      <c r="D496" s="23" t="n">
        <v>602.550426</v>
      </c>
      <c r="E496" s="23" t="n">
        <v>196.31</v>
      </c>
      <c r="G496" s="25" t="n">
        <f aca="false">(B496-B495)/B495</f>
        <v>-0.00704071471042552</v>
      </c>
      <c r="H496" s="25" t="n">
        <f aca="false">(C496-C495)/C495</f>
        <v>0.00263196943558041</v>
      </c>
      <c r="I496" s="25" t="n">
        <f aca="false">(D496-D495)/D495</f>
        <v>0.0048802423498262</v>
      </c>
      <c r="J496" s="25" t="n">
        <f aca="false">(E496-E495)/E495</f>
        <v>-0.00137348662122296</v>
      </c>
      <c r="L496" s="24" t="n">
        <f aca="false">MAX($B$2:B496)</f>
        <v>206.776269</v>
      </c>
      <c r="M496" s="25" t="n">
        <f aca="false">(B496-L496)/L496</f>
        <v>-0.121184418894801</v>
      </c>
    </row>
    <row r="497" customFormat="false" ht="15" hidden="false" customHeight="false" outlineLevel="0" collapsed="false">
      <c r="A497" s="22" t="n">
        <v>46099</v>
      </c>
      <c r="B497" s="23" t="n">
        <v>180.189988</v>
      </c>
      <c r="C497" s="23" t="n">
        <v>659.602</v>
      </c>
      <c r="D497" s="23" t="n">
        <v>594.151014</v>
      </c>
      <c r="E497" s="23" t="n">
        <v>199.46</v>
      </c>
      <c r="G497" s="25" t="n">
        <f aca="false">(B497-B496)/B496</f>
        <v>-0.00840982874104633</v>
      </c>
      <c r="H497" s="25" t="n">
        <f aca="false">(C497-C496)/C496</f>
        <v>-0.0139549763281147</v>
      </c>
      <c r="I497" s="25" t="n">
        <f aca="false">(D497-D496)/D496</f>
        <v>-0.0139397660968544</v>
      </c>
      <c r="J497" s="25" t="n">
        <f aca="false">(E497-E496)/E496</f>
        <v>0.0160460496154042</v>
      </c>
      <c r="L497" s="24" t="n">
        <f aca="false">MAX($B$2:B497)</f>
        <v>206.776269</v>
      </c>
      <c r="M497" s="25" t="n">
        <f aca="false">(B497-L497)/L497</f>
        <v>-0.128575107426859</v>
      </c>
    </row>
    <row r="498" customFormat="false" ht="15" hidden="false" customHeight="false" outlineLevel="0" collapsed="false">
      <c r="A498" s="22" t="n">
        <v>46100</v>
      </c>
      <c r="B498" s="23" t="n">
        <v>178.35213</v>
      </c>
      <c r="C498" s="23" t="n">
        <v>657.977</v>
      </c>
      <c r="D498" s="23" t="n">
        <v>592.273381</v>
      </c>
      <c r="E498" s="23" t="n">
        <v>205.27</v>
      </c>
      <c r="G498" s="25" t="n">
        <f aca="false">(B498-B497)/B497</f>
        <v>-0.0101995567034502</v>
      </c>
      <c r="H498" s="25" t="n">
        <f aca="false">(C498-C497)/C497</f>
        <v>-0.00246360684170151</v>
      </c>
      <c r="I498" s="25" t="n">
        <f aca="false">(D498-D497)/D497</f>
        <v>-0.00316019489280895</v>
      </c>
      <c r="J498" s="25" t="n">
        <f aca="false">(E498-E497)/E497</f>
        <v>0.0291286473478392</v>
      </c>
      <c r="L498" s="24" t="n">
        <f aca="false">MAX($B$2:B498)</f>
        <v>206.776269</v>
      </c>
      <c r="M498" s="25" t="n">
        <f aca="false">(B498-L498)/L498</f>
        <v>-0.137463255031456</v>
      </c>
    </row>
    <row r="499" customFormat="false" ht="15" hidden="false" customHeight="false" outlineLevel="0" collapsed="false">
      <c r="A499" s="22" t="n">
        <v>46101</v>
      </c>
      <c r="B499" s="23" t="n">
        <v>172.498952</v>
      </c>
      <c r="C499" s="23" t="n">
        <v>648.57</v>
      </c>
      <c r="D499" s="23" t="n">
        <v>581.32718</v>
      </c>
      <c r="E499" s="23" t="n">
        <v>201.33</v>
      </c>
      <c r="G499" s="25" t="n">
        <f aca="false">(B499-B498)/B498</f>
        <v>-0.0328180997894445</v>
      </c>
      <c r="H499" s="25" t="n">
        <f aca="false">(C499-C498)/C498</f>
        <v>-0.0142968523215856</v>
      </c>
      <c r="I499" s="25" t="n">
        <f aca="false">(D499-D498)/D498</f>
        <v>-0.0184816697004318</v>
      </c>
      <c r="J499" s="25" t="n">
        <f aca="false">(E499-E498)/E498</f>
        <v>-0.0191942319871389</v>
      </c>
      <c r="L499" s="24" t="n">
        <f aca="false">MAX($B$2:B499)</f>
        <v>206.776269</v>
      </c>
      <c r="M499" s="25" t="n">
        <f aca="false">(B499-L499)/L499</f>
        <v>-0.165770071999897</v>
      </c>
    </row>
    <row r="500" customFormat="false" ht="15" hidden="false" customHeight="false" outlineLevel="0" collapsed="false">
      <c r="A500" s="22" t="n">
        <v>46104</v>
      </c>
      <c r="B500" s="23" t="n">
        <v>175.43553</v>
      </c>
      <c r="C500" s="23" t="n">
        <v>655.38</v>
      </c>
      <c r="D500" s="23" t="n">
        <v>588</v>
      </c>
      <c r="E500" s="23" t="n">
        <v>202.68</v>
      </c>
      <c r="G500" s="25" t="n">
        <f aca="false">(B500-B499)/B499</f>
        <v>0.017023744005123</v>
      </c>
      <c r="H500" s="25" t="n">
        <f aca="false">(C500-C499)/C499</f>
        <v>0.0105000231278042</v>
      </c>
      <c r="I500" s="25" t="n">
        <f aca="false">(D500-D499)/D499</f>
        <v>0.0114785962700041</v>
      </c>
      <c r="J500" s="25" t="n">
        <f aca="false">(E500-E499)/E499</f>
        <v>0.0067054090299508</v>
      </c>
      <c r="L500" s="24" t="n">
        <f aca="false">MAX($B$2:B500)</f>
        <v>206.776269</v>
      </c>
      <c r="M500" s="25" t="n">
        <f aca="false">(B500-L500)/L500</f>
        <v>-0.151568355264211</v>
      </c>
    </row>
    <row r="501" customFormat="false" ht="15" hidden="false" customHeight="false" outlineLevel="0" collapsed="false">
      <c r="A501" s="22" t="n">
        <v>46105</v>
      </c>
      <c r="B501" s="23" t="n">
        <v>174.996042</v>
      </c>
      <c r="C501" s="23" t="n">
        <v>653.18</v>
      </c>
      <c r="D501" s="23" t="n">
        <v>583.98</v>
      </c>
      <c r="E501" s="23" t="n">
        <v>205.37</v>
      </c>
      <c r="G501" s="25" t="n">
        <f aca="false">(B501-B500)/B500</f>
        <v>-0.00250512538708671</v>
      </c>
      <c r="H501" s="25" t="n">
        <f aca="false">(C501-C500)/C500</f>
        <v>-0.00335683115139315</v>
      </c>
      <c r="I501" s="25" t="n">
        <f aca="false">(D501-D500)/D500</f>
        <v>-0.00683673469387752</v>
      </c>
      <c r="J501" s="25" t="n">
        <f aca="false">(E501-E500)/E500</f>
        <v>0.0132721531478192</v>
      </c>
      <c r="L501" s="24" t="n">
        <f aca="false">MAX($B$2:B501)</f>
        <v>206.776269</v>
      </c>
      <c r="M501" s="25" t="n">
        <f aca="false">(B501-L501)/L501</f>
        <v>-0.153693782916646</v>
      </c>
    </row>
    <row r="502" customFormat="false" ht="15" hidden="false" customHeight="false" outlineLevel="0" collapsed="false">
      <c r="A502" s="22" t="n">
        <v>46106</v>
      </c>
      <c r="B502" s="23" t="n">
        <v>178.471991</v>
      </c>
      <c r="C502" s="23" t="n">
        <v>656.82</v>
      </c>
      <c r="D502" s="23" t="n">
        <v>587.82</v>
      </c>
      <c r="E502" s="23" t="n">
        <v>220.27</v>
      </c>
      <c r="G502" s="25" t="n">
        <f aca="false">(B502-B501)/B501</f>
        <v>0.0198630149589327</v>
      </c>
      <c r="H502" s="25" t="n">
        <f aca="false">(C502-C501)/C501</f>
        <v>0.00557273645855675</v>
      </c>
      <c r="I502" s="25" t="n">
        <f aca="false">(D502-D501)/D501</f>
        <v>0.00657556765642664</v>
      </c>
      <c r="J502" s="25" t="n">
        <f aca="false">(E502-E501)/E501</f>
        <v>0.0725519793543361</v>
      </c>
      <c r="L502" s="24" t="n">
        <f aca="false">MAX($B$2:B502)</f>
        <v>206.776269</v>
      </c>
      <c r="M502" s="25" t="n">
        <f aca="false">(B502-L502)/L502</f>
        <v>-0.136883589866882</v>
      </c>
    </row>
    <row r="503" customFormat="false" ht="15" hidden="false" customHeight="false" outlineLevel="0" collapsed="false">
      <c r="A503" s="22" t="n">
        <v>46107</v>
      </c>
      <c r="B503" s="23" t="n">
        <v>171.040652</v>
      </c>
      <c r="C503" s="23" t="n">
        <v>645.09</v>
      </c>
      <c r="D503" s="23" t="n">
        <v>573.79</v>
      </c>
      <c r="E503" s="23" t="n">
        <v>203.77</v>
      </c>
      <c r="G503" s="25" t="n">
        <f aca="false">(B503-B502)/B502</f>
        <v>-0.0416386849183523</v>
      </c>
      <c r="H503" s="25" t="n">
        <f aca="false">(C503-C502)/C502</f>
        <v>-0.0178587740933589</v>
      </c>
      <c r="I503" s="25" t="n">
        <f aca="false">(D503-D502)/D502</f>
        <v>-0.0238678507025962</v>
      </c>
      <c r="J503" s="25" t="n">
        <f aca="false">(E503-E502)/E502</f>
        <v>-0.0749080673718618</v>
      </c>
      <c r="L503" s="24" t="n">
        <f aca="false">MAX($B$2:B503)</f>
        <v>206.776269</v>
      </c>
      <c r="M503" s="25" t="n">
        <f aca="false">(B503-L503)/L503</f>
        <v>-0.172822622116274</v>
      </c>
    </row>
    <row r="504" customFormat="false" ht="15" hidden="false" customHeight="false" outlineLevel="0" collapsed="false">
      <c r="A504" s="22" t="n">
        <v>46108</v>
      </c>
      <c r="B504" s="23" t="n">
        <v>167.324983</v>
      </c>
      <c r="C504" s="23" t="n">
        <v>634.09</v>
      </c>
      <c r="D504" s="23" t="n">
        <v>562.58</v>
      </c>
      <c r="E504" s="23" t="n">
        <v>201.99</v>
      </c>
      <c r="G504" s="25" t="n">
        <f aca="false">(B504-B503)/B503</f>
        <v>-0.0217238940366059</v>
      </c>
      <c r="H504" s="25" t="n">
        <f aca="false">(C504-C503)/C503</f>
        <v>-0.0170518842332078</v>
      </c>
      <c r="I504" s="25" t="n">
        <f aca="false">(D504-D503)/D503</f>
        <v>-0.0195367643214415</v>
      </c>
      <c r="J504" s="25" t="n">
        <f aca="false">(E504-E503)/E503</f>
        <v>-0.00873533886244296</v>
      </c>
      <c r="L504" s="24" t="n">
        <f aca="false">MAX($B$2:B504)</f>
        <v>206.776269</v>
      </c>
      <c r="M504" s="25" t="n">
        <f aca="false">(B504-L504)/L504</f>
        <v>-0.190792135822898</v>
      </c>
    </row>
    <row r="505" customFormat="false" ht="15" hidden="false" customHeight="false" outlineLevel="0" collapsed="false">
      <c r="A505" s="22" t="n">
        <v>46111</v>
      </c>
      <c r="B505" s="23" t="n">
        <v>164.977718</v>
      </c>
      <c r="C505" s="23" t="n">
        <v>631.97</v>
      </c>
      <c r="D505" s="23" t="n">
        <v>558.28</v>
      </c>
      <c r="E505" s="23" t="n">
        <v>196.04</v>
      </c>
      <c r="G505" s="25" t="n">
        <f aca="false">(B505-B504)/B504</f>
        <v>-0.0140281801194027</v>
      </c>
      <c r="H505" s="25" t="n">
        <f aca="false">(C505-C504)/C504</f>
        <v>-0.00334337396899495</v>
      </c>
      <c r="I505" s="25" t="n">
        <f aca="false">(D505-D504)/D504</f>
        <v>-0.00764335738917144</v>
      </c>
      <c r="J505" s="25" t="n">
        <f aca="false">(E505-E504)/E504</f>
        <v>-0.0294569038071192</v>
      </c>
      <c r="L505" s="24" t="n">
        <f aca="false">MAX($B$2:B505)</f>
        <v>206.776269</v>
      </c>
      <c r="M505" s="25" t="n">
        <f aca="false">(B505-L505)/L505</f>
        <v>-0.202143849495611</v>
      </c>
    </row>
    <row r="506" customFormat="false" ht="15" hidden="false" customHeight="false" outlineLevel="0" collapsed="false">
      <c r="A506" s="22" t="n">
        <v>46112</v>
      </c>
      <c r="B506" s="23" t="n">
        <v>174.196973</v>
      </c>
      <c r="C506" s="23" t="n">
        <v>650.34</v>
      </c>
      <c r="D506" s="23" t="n">
        <v>577.18</v>
      </c>
      <c r="E506" s="23" t="n">
        <v>203.43</v>
      </c>
      <c r="G506" s="25" t="n">
        <f aca="false">(B506-B505)/B505</f>
        <v>0.055881819143601</v>
      </c>
      <c r="H506" s="25" t="n">
        <f aca="false">(C506-C505)/C505</f>
        <v>0.0290678354985205</v>
      </c>
      <c r="I506" s="25" t="n">
        <f aca="false">(D506-D505)/D505</f>
        <v>0.0338539800816794</v>
      </c>
      <c r="J506" s="25" t="n">
        <f aca="false">(E506-E505)/E505</f>
        <v>0.0376963884921445</v>
      </c>
      <c r="L506" s="24" t="n">
        <f aca="false">MAX($B$2:B506)</f>
        <v>206.776269</v>
      </c>
      <c r="M506" s="25" t="n">
        <f aca="false">(B506-L506)/L506</f>
        <v>-0.157558196390515</v>
      </c>
    </row>
    <row r="507" customFormat="false" ht="15" hidden="false" customHeight="false" outlineLevel="0" collapsed="false">
      <c r="A507" s="22" t="n">
        <v>46113</v>
      </c>
      <c r="B507" s="23" t="n">
        <v>175.545402</v>
      </c>
      <c r="C507" s="23" t="n">
        <v>655.24</v>
      </c>
      <c r="D507" s="23" t="n">
        <v>584.31</v>
      </c>
      <c r="E507" s="23" t="n">
        <v>210.21</v>
      </c>
      <c r="G507" s="25" t="n">
        <f aca="false">(B507-B506)/B506</f>
        <v>0.00774082911302932</v>
      </c>
      <c r="H507" s="25" t="n">
        <f aca="false">(C507-C506)/C506</f>
        <v>0.00753452040471135</v>
      </c>
      <c r="I507" s="25" t="n">
        <f aca="false">(D507-D506)/D506</f>
        <v>0.0123531653903462</v>
      </c>
      <c r="J507" s="25" t="n">
        <f aca="false">(E507-E506)/E506</f>
        <v>0.0333284176375166</v>
      </c>
      <c r="L507" s="24" t="n">
        <f aca="false">MAX($B$2:B507)</f>
        <v>206.776269</v>
      </c>
      <c r="M507" s="25" t="n">
        <f aca="false">(B507-L507)/L507</f>
        <v>-0.151036998351102</v>
      </c>
    </row>
    <row r="508" customFormat="false" ht="15" hidden="false" customHeight="false" outlineLevel="0" collapsed="false">
      <c r="A508" s="22" t="n">
        <v>46114</v>
      </c>
      <c r="B508" s="23" t="n">
        <v>177.183492</v>
      </c>
      <c r="C508" s="23" t="n">
        <v>655.83</v>
      </c>
      <c r="D508" s="23" t="n">
        <v>584.98</v>
      </c>
      <c r="E508" s="23" t="n">
        <v>217.5</v>
      </c>
      <c r="G508" s="25" t="n">
        <f aca="false">(B508-B507)/B507</f>
        <v>0.0093314321043852</v>
      </c>
      <c r="H508" s="25" t="n">
        <f aca="false">(C508-C507)/C507</f>
        <v>0.000900433428972639</v>
      </c>
      <c r="I508" s="25" t="n">
        <f aca="false">(D508-D507)/D507</f>
        <v>0.00114665160616808</v>
      </c>
      <c r="J508" s="25" t="n">
        <f aca="false">(E508-E507)/E507</f>
        <v>0.0346796061081775</v>
      </c>
      <c r="L508" s="24" t="n">
        <f aca="false">MAX($B$2:B508)</f>
        <v>206.776269</v>
      </c>
      <c r="M508" s="25" t="n">
        <f aca="false">(B508-L508)/L508</f>
        <v>-0.14311495774208</v>
      </c>
    </row>
    <row r="509" customFormat="false" ht="15" hidden="false" customHeight="false" outlineLevel="0" collapsed="false">
      <c r="A509" s="22" t="n">
        <v>46118</v>
      </c>
      <c r="B509" s="23" t="n">
        <v>177.433201</v>
      </c>
      <c r="C509" s="23" t="n">
        <v>658.93</v>
      </c>
      <c r="D509" s="23" t="n">
        <v>588.5</v>
      </c>
      <c r="E509" s="23" t="n">
        <v>220.18</v>
      </c>
      <c r="G509" s="25" t="n">
        <f aca="false">(B509-B508)/B508</f>
        <v>0.00140932429529042</v>
      </c>
      <c r="H509" s="25" t="n">
        <f aca="false">(C509-C508)/C508</f>
        <v>0.00472683469801612</v>
      </c>
      <c r="I509" s="25" t="n">
        <f aca="false">(D509-D508)/D508</f>
        <v>0.00601729973674311</v>
      </c>
      <c r="J509" s="25" t="n">
        <f aca="false">(E509-E508)/E508</f>
        <v>0.0123218390804598</v>
      </c>
      <c r="L509" s="24" t="n">
        <f aca="false">MAX($B$2:B509)</f>
        <v>206.776269</v>
      </c>
      <c r="M509" s="25" t="n">
        <f aca="false">(B509-L509)/L509</f>
        <v>-0.141907328833755</v>
      </c>
    </row>
    <row r="510" customFormat="false" ht="15" hidden="false" customHeight="false" outlineLevel="0" collapsed="false">
      <c r="A510" s="22" t="n">
        <v>46119</v>
      </c>
      <c r="B510" s="23" t="n">
        <v>177.892666</v>
      </c>
      <c r="C510" s="23" t="n">
        <v>659.22</v>
      </c>
      <c r="D510" s="23" t="n">
        <v>588.59</v>
      </c>
      <c r="E510" s="23" t="n">
        <v>221.53</v>
      </c>
      <c r="G510" s="25" t="n">
        <f aca="false">(B510-B509)/B509</f>
        <v>0.00258950972766362</v>
      </c>
      <c r="H510" s="25" t="n">
        <f aca="false">(C510-C509)/C509</f>
        <v>0.000440107446921642</v>
      </c>
      <c r="I510" s="25" t="n">
        <f aca="false">(D510-D509)/D509</f>
        <v>0.000152931180968618</v>
      </c>
      <c r="J510" s="25" t="n">
        <f aca="false">(E510-E509)/E509</f>
        <v>0.00613134707966207</v>
      </c>
      <c r="L510" s="24" t="n">
        <f aca="false">MAX($B$2:B510)</f>
        <v>206.776269</v>
      </c>
      <c r="M510" s="25" t="n">
        <f aca="false">(B510-L510)/L510</f>
        <v>-0.139685289514533</v>
      </c>
    </row>
    <row r="511" customFormat="false" ht="15" hidden="false" customHeight="false" outlineLevel="0" collapsed="false">
      <c r="A511" s="22" t="n">
        <v>46120</v>
      </c>
      <c r="B511" s="23" t="n">
        <v>181.868033</v>
      </c>
      <c r="C511" s="23" t="n">
        <v>676.01</v>
      </c>
      <c r="D511" s="23" t="n">
        <v>606.09</v>
      </c>
      <c r="E511" s="23" t="n">
        <v>231.82</v>
      </c>
      <c r="G511" s="25" t="n">
        <f aca="false">(B511-B510)/B510</f>
        <v>0.0223469977115302</v>
      </c>
      <c r="H511" s="25" t="n">
        <f aca="false">(C511-C510)/C510</f>
        <v>0.0254694942507812</v>
      </c>
      <c r="I511" s="25" t="n">
        <f aca="false">(D511-D510)/D510</f>
        <v>0.0297320715608488</v>
      </c>
      <c r="J511" s="25" t="n">
        <f aca="false">(E511-E510)/E510</f>
        <v>0.0464496907868009</v>
      </c>
      <c r="L511" s="24" t="n">
        <f aca="false">MAX($B$2:B511)</f>
        <v>206.776269</v>
      </c>
      <c r="M511" s="25" t="n">
        <f aca="false">(B511-L511)/L511</f>
        <v>-0.120459838648119</v>
      </c>
    </row>
    <row r="512" customFormat="false" ht="15" hidden="false" customHeight="false" outlineLevel="0" collapsed="false">
      <c r="A512" s="22" t="n">
        <v>46121</v>
      </c>
      <c r="B512" s="23" t="n">
        <v>183.695902</v>
      </c>
      <c r="C512" s="23" t="n">
        <v>679.91</v>
      </c>
      <c r="D512" s="23" t="n">
        <v>610.19</v>
      </c>
      <c r="E512" s="23" t="n">
        <v>236.64</v>
      </c>
      <c r="G512" s="25" t="n">
        <f aca="false">(B512-B511)/B511</f>
        <v>0.0100505238322998</v>
      </c>
      <c r="H512" s="25" t="n">
        <f aca="false">(C512-C511)/C511</f>
        <v>0.00576914542684277</v>
      </c>
      <c r="I512" s="25" t="n">
        <f aca="false">(D512-D511)/D511</f>
        <v>0.00676467191341224</v>
      </c>
      <c r="J512" s="25" t="n">
        <f aca="false">(E512-E511)/E511</f>
        <v>0.020791993788284</v>
      </c>
      <c r="L512" s="24" t="n">
        <f aca="false">MAX($B$2:B512)</f>
        <v>206.776269</v>
      </c>
      <c r="M512" s="25" t="n">
        <f aca="false">(B512-L512)/L512</f>
        <v>-0.111619999294987</v>
      </c>
    </row>
    <row r="513" customFormat="false" ht="15" hidden="false" customHeight="false" outlineLevel="0" collapsed="false">
      <c r="A513" s="22" t="n">
        <v>46122</v>
      </c>
      <c r="B513" s="23" t="n">
        <v>188.410407</v>
      </c>
      <c r="C513" s="23" t="n">
        <v>679.46</v>
      </c>
      <c r="D513" s="23" t="n">
        <v>611.07</v>
      </c>
      <c r="E513" s="23" t="n">
        <v>245.04</v>
      </c>
      <c r="G513" s="25" t="n">
        <f aca="false">(B513-B512)/B512</f>
        <v>0.0256647260427182</v>
      </c>
      <c r="H513" s="25" t="n">
        <f aca="false">(C513-C512)/C512</f>
        <v>-0.000661852303981309</v>
      </c>
      <c r="I513" s="25" t="n">
        <f aca="false">(D513-D512)/D512</f>
        <v>0.00144217374916009</v>
      </c>
      <c r="J513" s="25" t="n">
        <f aca="false">(E513-E512)/E512</f>
        <v>0.0354969574036511</v>
      </c>
      <c r="L513" s="24" t="n">
        <f aca="false">MAX($B$2:B513)</f>
        <v>206.776269</v>
      </c>
      <c r="M513" s="25" t="n">
        <f aca="false">(B513-L513)/L513</f>
        <v>-0.088819969955063</v>
      </c>
    </row>
    <row r="514" customFormat="false" ht="15" hidden="false" customHeight="false" outlineLevel="0" collapsed="false">
      <c r="A514" s="22" t="n">
        <v>46125</v>
      </c>
      <c r="B514" s="23" t="n">
        <v>189.089616</v>
      </c>
      <c r="C514" s="23" t="n">
        <v>686.1</v>
      </c>
      <c r="D514" s="23" t="n">
        <v>617.39</v>
      </c>
      <c r="E514" s="23" t="n">
        <v>246.83</v>
      </c>
      <c r="G514" s="25" t="n">
        <f aca="false">(B514-B513)/B513</f>
        <v>0.00360494417911859</v>
      </c>
      <c r="H514" s="25" t="n">
        <f aca="false">(C514-C513)/C513</f>
        <v>0.00977246637035291</v>
      </c>
      <c r="I514" s="25" t="n">
        <f aca="false">(D514-D513)/D513</f>
        <v>0.0103425139509384</v>
      </c>
      <c r="J514" s="25" t="n">
        <f aca="false">(E514-E513)/E513</f>
        <v>0.00730492980737847</v>
      </c>
      <c r="L514" s="24" t="n">
        <f aca="false">MAX($B$2:B514)</f>
        <v>206.776269</v>
      </c>
      <c r="M514" s="25" t="n">
        <f aca="false">(B514-L514)/L514</f>
        <v>-0.0855352168096234</v>
      </c>
    </row>
    <row r="515" customFormat="false" ht="15" hidden="false" customHeight="false" outlineLevel="0" collapsed="false">
      <c r="A515" s="22" t="n">
        <v>46126</v>
      </c>
      <c r="B515" s="23" t="n">
        <v>196.281234</v>
      </c>
      <c r="C515" s="23" t="n">
        <v>694.46</v>
      </c>
      <c r="D515" s="23" t="n">
        <v>628.6</v>
      </c>
      <c r="E515" s="23" t="n">
        <v>255.07</v>
      </c>
      <c r="G515" s="25" t="n">
        <f aca="false">(B515-B514)/B514</f>
        <v>0.0380328552785257</v>
      </c>
      <c r="H515" s="25" t="n">
        <f aca="false">(C515-C514)/C514</f>
        <v>0.0121848127095176</v>
      </c>
      <c r="I515" s="25" t="n">
        <f aca="false">(D515-D514)/D514</f>
        <v>0.0181570806135507</v>
      </c>
      <c r="J515" s="25" t="n">
        <f aca="false">(E515-E514)/E514</f>
        <v>0.0333833002471336</v>
      </c>
      <c r="L515" s="24" t="n">
        <f aca="false">MAX($B$2:B515)</f>
        <v>206.776269</v>
      </c>
      <c r="M515" s="25" t="n">
        <f aca="false">(B515-L515)/L515</f>
        <v>-0.0507555100532354</v>
      </c>
    </row>
    <row r="516" customFormat="false" ht="15" hidden="false" customHeight="false" outlineLevel="0" collapsed="false">
      <c r="A516" s="22" t="n">
        <v>46127</v>
      </c>
      <c r="B516" s="23" t="n">
        <v>198.638487</v>
      </c>
      <c r="C516" s="23" t="n">
        <v>699.94</v>
      </c>
      <c r="D516" s="23" t="n">
        <v>637.4</v>
      </c>
      <c r="E516" s="23" t="n">
        <v>258.12</v>
      </c>
      <c r="G516" s="25" t="n">
        <f aca="false">(B516-B515)/B515</f>
        <v>0.0120095688821683</v>
      </c>
      <c r="H516" s="25" t="n">
        <f aca="false">(C516-C515)/C515</f>
        <v>0.00789102324107943</v>
      </c>
      <c r="I516" s="25" t="n">
        <f aca="false">(D516-D515)/D515</f>
        <v>0.0139993636652879</v>
      </c>
      <c r="J516" s="25" t="n">
        <f aca="false">(E516-E515)/E515</f>
        <v>0.0119575018622339</v>
      </c>
      <c r="L516" s="24" t="n">
        <f aca="false">MAX($B$2:B516)</f>
        <v>206.776269</v>
      </c>
      <c r="M516" s="25" t="n">
        <f aca="false">(B516-L516)/L516</f>
        <v>-0.039355492965201</v>
      </c>
    </row>
    <row r="517" customFormat="false" ht="15" hidden="false" customHeight="false" outlineLevel="0" collapsed="false">
      <c r="A517" s="22" t="n">
        <v>46128</v>
      </c>
      <c r="B517" s="23" t="n">
        <v>198.119092</v>
      </c>
      <c r="C517" s="23" t="n">
        <v>701.66</v>
      </c>
      <c r="D517" s="23" t="n">
        <v>640.47</v>
      </c>
      <c r="E517" s="23" t="n">
        <v>278.26</v>
      </c>
      <c r="G517" s="25" t="n">
        <f aca="false">(B517-B516)/B516</f>
        <v>-0.00261477525249174</v>
      </c>
      <c r="H517" s="25" t="n">
        <f aca="false">(C517-C516)/C516</f>
        <v>0.00245735348744166</v>
      </c>
      <c r="I517" s="25" t="n">
        <f aca="false">(D517-D516)/D516</f>
        <v>0.00481644179479142</v>
      </c>
      <c r="J517" s="25" t="n">
        <f aca="false">(E517-E516)/E516</f>
        <v>0.0780257244692391</v>
      </c>
      <c r="L517" s="24" t="n">
        <f aca="false">MAX($B$2:B517)</f>
        <v>206.776269</v>
      </c>
      <c r="M517" s="25" t="n">
        <f aca="false">(B517-L517)/L517</f>
        <v>-0.0418673624486378</v>
      </c>
    </row>
    <row r="518" customFormat="false" ht="15" hidden="false" customHeight="false" outlineLevel="0" collapsed="false">
      <c r="A518" s="22" t="n">
        <v>46129</v>
      </c>
      <c r="B518" s="23" t="n">
        <v>201.445215</v>
      </c>
      <c r="C518" s="23" t="n">
        <v>710.14</v>
      </c>
      <c r="D518" s="23" t="n">
        <v>648.85</v>
      </c>
      <c r="E518" s="23" t="n">
        <v>278.39</v>
      </c>
      <c r="G518" s="25" t="n">
        <f aca="false">(B518-B517)/B517</f>
        <v>0.0167885031494087</v>
      </c>
      <c r="H518" s="25" t="n">
        <f aca="false">(C518-C517)/C517</f>
        <v>0.012085625516632</v>
      </c>
      <c r="I518" s="25" t="n">
        <f aca="false">(D518-D517)/D517</f>
        <v>0.0130841413337081</v>
      </c>
      <c r="J518" s="25" t="n">
        <f aca="false">(E518-E517)/E517</f>
        <v>0.000467188959965484</v>
      </c>
      <c r="L518" s="24" t="n">
        <f aca="false">MAX($B$2:B518)</f>
        <v>206.776269</v>
      </c>
      <c r="M518" s="25" t="n">
        <f aca="false">(B518-L518)/L518</f>
        <v>-0.0257817496455554</v>
      </c>
    </row>
    <row r="519" customFormat="false" ht="15" hidden="false" customHeight="false" outlineLevel="0" collapsed="false">
      <c r="A519" s="22" t="n">
        <v>46132</v>
      </c>
      <c r="B519" s="23" t="n">
        <v>201.824773</v>
      </c>
      <c r="C519" s="23" t="n">
        <v>708.72</v>
      </c>
      <c r="D519" s="23" t="n">
        <v>646.79</v>
      </c>
      <c r="E519" s="23" t="n">
        <v>274.95</v>
      </c>
      <c r="G519" s="25" t="n">
        <f aca="false">(B519-B518)/B518</f>
        <v>0.00188417481149901</v>
      </c>
      <c r="H519" s="25" t="n">
        <f aca="false">(C519-C518)/C518</f>
        <v>-0.00199960571154978</v>
      </c>
      <c r="I519" s="25" t="n">
        <f aca="false">(D519-D518)/D518</f>
        <v>-0.0031748478076598</v>
      </c>
      <c r="J519" s="25" t="n">
        <f aca="false">(E519-E518)/E518</f>
        <v>-0.0123567656884227</v>
      </c>
      <c r="L519" s="24" t="n">
        <f aca="false">MAX($B$2:B519)</f>
        <v>206.776269</v>
      </c>
      <c r="M519" s="25" t="n">
        <f aca="false">(B519-L519)/L519</f>
        <v>-0.0239461521573349</v>
      </c>
    </row>
    <row r="520" customFormat="false" ht="15" hidden="false" customHeight="false" outlineLevel="0" collapsed="false">
      <c r="A520" s="22" t="n">
        <v>46133</v>
      </c>
      <c r="B520" s="23" t="n">
        <v>199.647311</v>
      </c>
      <c r="C520" s="23" t="n">
        <v>704.08</v>
      </c>
      <c r="D520" s="23" t="n">
        <v>644.33</v>
      </c>
      <c r="E520" s="23" t="n">
        <v>284.49</v>
      </c>
      <c r="G520" s="25" t="n">
        <f aca="false">(B520-B519)/B519</f>
        <v>-0.0107888737722004</v>
      </c>
      <c r="H520" s="25" t="n">
        <f aca="false">(C520-C519)/C519</f>
        <v>-0.00654701433570378</v>
      </c>
      <c r="I520" s="25" t="n">
        <f aca="false">(D520-D519)/D519</f>
        <v>-0.00380339832093867</v>
      </c>
      <c r="J520" s="25" t="n">
        <f aca="false">(E520-E519)/E519</f>
        <v>0.0346972176759412</v>
      </c>
      <c r="L520" s="24" t="n">
        <f aca="false">MAX($B$2:B520)</f>
        <v>206.776269</v>
      </c>
      <c r="M520" s="25" t="n">
        <f aca="false">(B520-L520)/L520</f>
        <v>-0.0344766739165799</v>
      </c>
    </row>
    <row r="521" customFormat="false" ht="15" hidden="false" customHeight="false" outlineLevel="0" collapsed="false">
      <c r="A521" s="22" t="n">
        <v>46134</v>
      </c>
      <c r="B521" s="23" t="n">
        <v>202.264261</v>
      </c>
      <c r="C521" s="23" t="n">
        <v>711.21</v>
      </c>
      <c r="D521" s="23" t="n">
        <v>655.11</v>
      </c>
      <c r="E521" s="23" t="n">
        <v>303.46</v>
      </c>
      <c r="G521" s="25" t="n">
        <f aca="false">(B521-B520)/B520</f>
        <v>0.0131078649989932</v>
      </c>
      <c r="H521" s="25" t="n">
        <f aca="false">(C521-C520)/C520</f>
        <v>0.0101266901488467</v>
      </c>
      <c r="I521" s="25" t="n">
        <f aca="false">(D521-D520)/D520</f>
        <v>0.0167305573231108</v>
      </c>
      <c r="J521" s="25" t="n">
        <f aca="false">(E521-E520)/E520</f>
        <v>0.0666807269148299</v>
      </c>
      <c r="L521" s="24" t="n">
        <f aca="false">MAX($B$2:B521)</f>
        <v>206.776269</v>
      </c>
      <c r="M521" s="25" t="n">
        <f aca="false">(B521-L521)/L521</f>
        <v>-0.0218207245048996</v>
      </c>
    </row>
    <row r="522" customFormat="false" ht="15" hidden="false" customHeight="false" outlineLevel="0" collapsed="false">
      <c r="A522" s="22" t="n">
        <v>46135</v>
      </c>
      <c r="B522" s="23" t="n">
        <v>199.40759</v>
      </c>
      <c r="C522" s="23" t="n">
        <v>708.45</v>
      </c>
      <c r="D522" s="23" t="n">
        <v>651.42</v>
      </c>
      <c r="E522" s="23" t="n">
        <v>305.33</v>
      </c>
      <c r="G522" s="25" t="n">
        <f aca="false">(B522-B521)/B521</f>
        <v>-0.0141234590128604</v>
      </c>
      <c r="H522" s="25" t="n">
        <f aca="false">(C522-C521)/C521</f>
        <v>-0.00388071033871851</v>
      </c>
      <c r="I522" s="25" t="n">
        <f aca="false">(D522-D521)/D521</f>
        <v>-0.00563264184640756</v>
      </c>
      <c r="J522" s="25" t="n">
        <f aca="false">(E522-E521)/E521</f>
        <v>0.00616226191260794</v>
      </c>
      <c r="L522" s="24" t="n">
        <f aca="false">MAX($B$2:B522)</f>
        <v>206.776269</v>
      </c>
      <c r="M522" s="25" t="n">
        <f aca="false">(B522-L522)/L522</f>
        <v>-0.0356359994095842</v>
      </c>
    </row>
    <row r="523" customFormat="false" ht="15" hidden="false" customHeight="false" outlineLevel="0" collapsed="false">
      <c r="A523" s="22" t="n">
        <v>46136</v>
      </c>
      <c r="B523" s="23" t="n">
        <v>208.027544</v>
      </c>
      <c r="C523" s="23" t="n">
        <v>713.94</v>
      </c>
      <c r="D523" s="23" t="n">
        <v>663.88</v>
      </c>
      <c r="E523" s="23" t="n">
        <v>347.81</v>
      </c>
      <c r="G523" s="25" t="n">
        <f aca="false">(B523-B522)/B522</f>
        <v>0.0432278129433288</v>
      </c>
      <c r="H523" s="25" t="n">
        <f aca="false">(C523-C522)/C522</f>
        <v>0.00774931187804363</v>
      </c>
      <c r="I523" s="25" t="n">
        <f aca="false">(D523-D522)/D522</f>
        <v>0.0191274446593596</v>
      </c>
      <c r="J523" s="25" t="n">
        <f aca="false">(E523-E522)/E522</f>
        <v>0.139128156420922</v>
      </c>
      <c r="L523" s="24" t="n">
        <f aca="false">MAX($B$2:B523)</f>
        <v>208.027544</v>
      </c>
      <c r="M523" s="25" t="n">
        <f aca="false">(B523-L523)/L523</f>
        <v>0</v>
      </c>
    </row>
    <row r="524" customFormat="false" ht="15" hidden="false" customHeight="false" outlineLevel="0" collapsed="false">
      <c r="A524" s="22" t="n">
        <v>46139</v>
      </c>
      <c r="B524" s="23" t="n">
        <v>216.357835</v>
      </c>
      <c r="C524" s="23" t="n">
        <v>715.17</v>
      </c>
      <c r="D524" s="23" t="n">
        <v>664.23</v>
      </c>
      <c r="E524" s="23" t="n">
        <v>334.63</v>
      </c>
      <c r="G524" s="25" t="n">
        <f aca="false">(B524-B523)/B523</f>
        <v>0.0400441731889119</v>
      </c>
      <c r="H524" s="25" t="n">
        <f aca="false">(C524-C523)/C523</f>
        <v>0.00172283385158403</v>
      </c>
      <c r="I524" s="25" t="n">
        <f aca="false">(D524-D523)/D523</f>
        <v>0.000527203711514163</v>
      </c>
      <c r="J524" s="25" t="n">
        <f aca="false">(E524-E523)/E523</f>
        <v>-0.0378942526091832</v>
      </c>
      <c r="L524" s="24" t="n">
        <f aca="false">MAX($B$2:B524)</f>
        <v>216.357835</v>
      </c>
      <c r="M524" s="25" t="n">
        <f aca="false">(B524-L524)/L524</f>
        <v>0</v>
      </c>
    </row>
    <row r="525" customFormat="false" ht="15" hidden="false" customHeight="false" outlineLevel="0" collapsed="false">
      <c r="A525" s="22" t="n">
        <v>46140</v>
      </c>
      <c r="B525" s="23" t="n">
        <v>212.921839</v>
      </c>
      <c r="C525" s="23" t="n">
        <v>711.69</v>
      </c>
      <c r="D525" s="23" t="n">
        <v>657.55</v>
      </c>
      <c r="E525" s="23" t="n">
        <v>323.21</v>
      </c>
      <c r="G525" s="25" t="n">
        <f aca="false">(B525-B524)/B524</f>
        <v>-0.0158810796013003</v>
      </c>
      <c r="H525" s="25" t="n">
        <f aca="false">(C525-C524)/C524</f>
        <v>-0.00486597592180867</v>
      </c>
      <c r="I525" s="25" t="n">
        <f aca="false">(D525-D524)/D524</f>
        <v>-0.0100567574484743</v>
      </c>
      <c r="J525" s="25" t="n">
        <f aca="false">(E525-E524)/E524</f>
        <v>-0.0341272450168844</v>
      </c>
      <c r="L525" s="24" t="n">
        <f aca="false">MAX($B$2:B525)</f>
        <v>216.357835</v>
      </c>
      <c r="M525" s="25" t="n">
        <f aca="false">(B525-L525)/L525</f>
        <v>-0.0158810796013003</v>
      </c>
    </row>
    <row r="526" customFormat="false" ht="15" hidden="false" customHeight="false" outlineLevel="0" collapsed="false">
      <c r="A526" s="22" t="n">
        <v>46141</v>
      </c>
      <c r="B526" s="23" t="n">
        <v>209.006403</v>
      </c>
      <c r="C526" s="23" t="n">
        <v>711.58</v>
      </c>
      <c r="D526" s="23" t="n">
        <v>661.57</v>
      </c>
      <c r="E526" s="23" t="n">
        <v>337.11</v>
      </c>
      <c r="G526" s="25" t="n">
        <f aca="false">(B526-B525)/B525</f>
        <v>-0.0183890765662605</v>
      </c>
      <c r="H526" s="25" t="n">
        <f aca="false">(C526-C525)/C525</f>
        <v>-0.000154561677134727</v>
      </c>
      <c r="I526" s="25" t="n">
        <f aca="false">(D526-D525)/D525</f>
        <v>0.00611360352824895</v>
      </c>
      <c r="J526" s="25" t="n">
        <f aca="false">(E526-E525)/E525</f>
        <v>0.0430060951084435</v>
      </c>
      <c r="L526" s="24" t="n">
        <f aca="false">MAX($B$2:B526)</f>
        <v>216.357835</v>
      </c>
      <c r="M526" s="25" t="n">
        <f aca="false">(B526-L526)/L526</f>
        <v>-0.0339781177788176</v>
      </c>
    </row>
    <row r="527" customFormat="false" ht="15" hidden="false" customHeight="false" outlineLevel="0" collapsed="false">
      <c r="A527" s="22" t="n">
        <v>46142</v>
      </c>
      <c r="B527" s="23" t="n">
        <v>199.337672</v>
      </c>
      <c r="C527" s="23" t="n">
        <v>718.66</v>
      </c>
      <c r="D527" s="23" t="n">
        <v>667.74</v>
      </c>
      <c r="E527" s="23" t="n">
        <v>354.49</v>
      </c>
      <c r="G527" s="25" t="n">
        <f aca="false">(B527-B526)/B526</f>
        <v>-0.0462604535613199</v>
      </c>
      <c r="H527" s="25" t="n">
        <f aca="false">(C527-C526)/C526</f>
        <v>0.00994968942353625</v>
      </c>
      <c r="I527" s="25" t="n">
        <f aca="false">(D527-D526)/D526</f>
        <v>0.00932629956013719</v>
      </c>
      <c r="J527" s="25" t="n">
        <f aca="false">(E527-E526)/E526</f>
        <v>0.0515558719705734</v>
      </c>
      <c r="L527" s="24" t="n">
        <f aca="false">MAX($B$2:B527)</f>
        <v>216.357835</v>
      </c>
      <c r="M527" s="25" t="n">
        <f aca="false">(B527-L527)/L527</f>
        <v>-0.0786667282005295</v>
      </c>
    </row>
    <row r="528" customFormat="false" ht="15" hidden="false" customHeight="false" outlineLevel="0" collapsed="false">
      <c r="A528" s="22" t="n">
        <v>46143</v>
      </c>
      <c r="B528" s="23" t="n">
        <v>198.218976</v>
      </c>
      <c r="C528" s="23" t="n">
        <v>720.65</v>
      </c>
      <c r="D528" s="23" t="n">
        <v>674.15</v>
      </c>
      <c r="E528" s="23" t="n">
        <v>360.54</v>
      </c>
      <c r="G528" s="25" t="n">
        <f aca="false">(B528-B527)/B527</f>
        <v>-0.00561206513939824</v>
      </c>
      <c r="H528" s="25" t="n">
        <f aca="false">(C528-C527)/C527</f>
        <v>0.00276904238443772</v>
      </c>
      <c r="I528" s="25" t="n">
        <f aca="false">(D528-D527)/D527</f>
        <v>0.00959954473297986</v>
      </c>
      <c r="J528" s="25" t="n">
        <f aca="false">(E528-E527)/E527</f>
        <v>0.0170667719822844</v>
      </c>
      <c r="L528" s="24" t="n">
        <f aca="false">MAX($B$2:B528)</f>
        <v>216.357835</v>
      </c>
      <c r="M528" s="25" t="n">
        <f aca="false">(B528-L528)/L528</f>
        <v>-0.083837310536963</v>
      </c>
    </row>
    <row r="529" customFormat="false" ht="15" hidden="false" customHeight="false" outlineLevel="0" collapsed="false">
      <c r="A529" s="22" t="n">
        <v>46146</v>
      </c>
      <c r="B529" s="23" t="n">
        <v>198.248941</v>
      </c>
      <c r="C529" s="23" t="n">
        <v>718.01</v>
      </c>
      <c r="D529" s="23" t="n">
        <v>672.88</v>
      </c>
      <c r="E529" s="23" t="n">
        <v>341.54</v>
      </c>
      <c r="G529" s="25" t="n">
        <f aca="false">(B529-B528)/B528</f>
        <v>0.000151171197655689</v>
      </c>
      <c r="H529" s="25" t="n">
        <f aca="false">(C529-C528)/C528</f>
        <v>-0.0036633594671477</v>
      </c>
      <c r="I529" s="25" t="n">
        <f aca="false">(D529-D528)/D528</f>
        <v>-0.00188385374174884</v>
      </c>
      <c r="J529" s="25" t="n">
        <f aca="false">(E529-E528)/E528</f>
        <v>-0.0526987296832529</v>
      </c>
      <c r="L529" s="24" t="n">
        <f aca="false">MAX($B$2:B529)</f>
        <v>216.357835</v>
      </c>
      <c r="M529" s="25" t="n">
        <f aca="false">(B529-L529)/L529</f>
        <v>-0.0836988131259494</v>
      </c>
    </row>
    <row r="530" customFormat="false" ht="15" hidden="false" customHeight="false" outlineLevel="0" collapsed="false">
      <c r="A530" s="22" t="n">
        <v>46147</v>
      </c>
      <c r="B530" s="23" t="n">
        <v>196.271246</v>
      </c>
      <c r="C530" s="23" t="n">
        <v>723.77</v>
      </c>
      <c r="D530" s="23" t="n">
        <v>681.61</v>
      </c>
      <c r="E530" s="23" t="n">
        <v>355.26</v>
      </c>
      <c r="G530" s="25" t="n">
        <f aca="false">(B530-B529)/B529</f>
        <v>-0.00997581621381781</v>
      </c>
      <c r="H530" s="25" t="n">
        <f aca="false">(C530-C529)/C529</f>
        <v>0.00802217239314215</v>
      </c>
      <c r="I530" s="25" t="n">
        <f aca="false">(D530-D529)/D529</f>
        <v>0.0129740815598621</v>
      </c>
      <c r="J530" s="25" t="n">
        <f aca="false">(E530-E529)/E529</f>
        <v>0.0401709902207647</v>
      </c>
      <c r="L530" s="24" t="n">
        <f aca="false">MAX($B$2:B530)</f>
        <v>216.357835</v>
      </c>
      <c r="M530" s="25" t="n">
        <f aca="false">(B530-L530)/L530</f>
        <v>-0.0928396653627081</v>
      </c>
    </row>
    <row r="531" customFormat="false" ht="15" hidden="false" customHeight="false" outlineLevel="0" collapsed="false">
      <c r="A531" s="22" t="n">
        <v>46148</v>
      </c>
      <c r="B531" s="23" t="n">
        <v>207.588056</v>
      </c>
      <c r="C531" s="23" t="n">
        <v>733.83</v>
      </c>
      <c r="D531" s="23" t="n">
        <v>695.77</v>
      </c>
      <c r="E531" s="23" t="n">
        <v>421.39</v>
      </c>
      <c r="G531" s="25" t="n">
        <f aca="false">(B531-B530)/B530</f>
        <v>0.0576590317259208</v>
      </c>
      <c r="H531" s="25" t="n">
        <f aca="false">(C531-C530)/C530</f>
        <v>0.0138994431932797</v>
      </c>
      <c r="I531" s="25" t="n">
        <f aca="false">(D531-D530)/D530</f>
        <v>0.0207743430994263</v>
      </c>
      <c r="J531" s="25" t="n">
        <f aca="false">(E531-E530)/E530</f>
        <v>0.186145358329111</v>
      </c>
      <c r="L531" s="24" t="n">
        <f aca="false">MAX($B$2:B531)</f>
        <v>216.357835</v>
      </c>
      <c r="M531" s="25" t="n">
        <f aca="false">(B531-L531)/L531</f>
        <v>-0.0405336788473595</v>
      </c>
    </row>
    <row r="532" customFormat="false" ht="15" hidden="false" customHeight="false" outlineLevel="0" collapsed="false">
      <c r="A532" s="22" t="n">
        <v>46149</v>
      </c>
      <c r="B532" s="23" t="n">
        <v>211.253783</v>
      </c>
      <c r="C532" s="23" t="n">
        <v>731.58</v>
      </c>
      <c r="D532" s="23" t="n">
        <v>694.94</v>
      </c>
      <c r="E532" s="23" t="n">
        <v>408.46</v>
      </c>
      <c r="G532" s="25" t="n">
        <f aca="false">(B532-B531)/B531</f>
        <v>0.0176586604770749</v>
      </c>
      <c r="H532" s="25" t="n">
        <f aca="false">(C532-C531)/C531</f>
        <v>-0.00306610522873145</v>
      </c>
      <c r="I532" s="25" t="n">
        <f aca="false">(D532-D531)/D531</f>
        <v>-0.00119292294867546</v>
      </c>
      <c r="J532" s="25" t="n">
        <f aca="false">(E532-E531)/E531</f>
        <v>-0.030684164313344</v>
      </c>
      <c r="L532" s="24" t="n">
        <f aca="false">MAX($B$2:B532)</f>
        <v>216.357835</v>
      </c>
      <c r="M532" s="25" t="n">
        <f aca="false">(B532-L532)/L532</f>
        <v>-0.023590788842937</v>
      </c>
    </row>
    <row r="533" customFormat="false" ht="15" hidden="false" customHeight="false" outlineLevel="0" collapsed="false">
      <c r="A533" s="22" t="n">
        <v>46150</v>
      </c>
      <c r="B533" s="23" t="n">
        <v>214.949476</v>
      </c>
      <c r="C533" s="23" t="n">
        <v>737.62</v>
      </c>
      <c r="D533" s="23" t="n">
        <v>711.23</v>
      </c>
      <c r="E533" s="23" t="n">
        <v>455.19</v>
      </c>
      <c r="G533" s="25" t="n">
        <f aca="false">(B533-B532)/B532</f>
        <v>0.0174940914549209</v>
      </c>
      <c r="H533" s="25" t="n">
        <f aca="false">(C533-C532)/C532</f>
        <v>0.0082561032286284</v>
      </c>
      <c r="I533" s="25" t="n">
        <f aca="false">(D533-D532)/D532</f>
        <v>0.0234408725933174</v>
      </c>
      <c r="J533" s="25" t="n">
        <f aca="false">(E533-E532)/E532</f>
        <v>0.114405327327033</v>
      </c>
      <c r="L533" s="24" t="n">
        <f aca="false">MAX($B$2:B533)</f>
        <v>216.357835</v>
      </c>
      <c r="M533" s="25" t="n">
        <f aca="false">(B533-L533)/L533</f>
        <v>-0.00650939680552817</v>
      </c>
    </row>
    <row r="534" customFormat="false" ht="15" hidden="false" customHeight="false" outlineLevel="0" collapsed="false">
      <c r="A534" s="22" t="n">
        <v>46153</v>
      </c>
      <c r="B534" s="23" t="n">
        <v>219.18454</v>
      </c>
      <c r="C534" s="23" t="n">
        <v>739.3</v>
      </c>
      <c r="D534" s="23" t="n">
        <v>713.29</v>
      </c>
      <c r="E534" s="23" t="n">
        <v>458.79</v>
      </c>
      <c r="G534" s="25" t="n">
        <f aca="false">(B534-B533)/B533</f>
        <v>0.0197026021128797</v>
      </c>
      <c r="H534" s="25" t="n">
        <f aca="false">(C534-C533)/C533</f>
        <v>0.00227759550988307</v>
      </c>
      <c r="I534" s="25" t="n">
        <f aca="false">(D534-D533)/D533</f>
        <v>0.00289639075966979</v>
      </c>
      <c r="J534" s="25" t="n">
        <f aca="false">(E534-E533)/E533</f>
        <v>0.00790878534238455</v>
      </c>
      <c r="L534" s="24" t="n">
        <f aca="false">MAX($B$2:B534)</f>
        <v>219.18454</v>
      </c>
      <c r="M534" s="25" t="n">
        <f aca="false">(B534-L534)/L534</f>
        <v>0</v>
      </c>
    </row>
    <row r="535" customFormat="false" ht="15" hidden="false" customHeight="false" outlineLevel="0" collapsed="false">
      <c r="A535" s="22" t="n">
        <v>46154</v>
      </c>
      <c r="B535" s="23" t="n">
        <v>220.52298</v>
      </c>
      <c r="C535" s="23" t="n">
        <v>738.18</v>
      </c>
      <c r="D535" s="23" t="n">
        <v>707.24</v>
      </c>
      <c r="E535" s="23" t="n">
        <v>448.29</v>
      </c>
      <c r="G535" s="25" t="n">
        <f aca="false">(B535-B534)/B534</f>
        <v>0.00610645258100773</v>
      </c>
      <c r="H535" s="25" t="n">
        <f aca="false">(C535-C534)/C534</f>
        <v>-0.00151494657108076</v>
      </c>
      <c r="I535" s="25" t="n">
        <f aca="false">(D535-D534)/D534</f>
        <v>-0.00848182366218502</v>
      </c>
      <c r="J535" s="25" t="n">
        <f aca="false">(E535-E534)/E534</f>
        <v>-0.0228862878441117</v>
      </c>
      <c r="L535" s="24" t="n">
        <f aca="false">MAX($B$2:B535)</f>
        <v>220.52298</v>
      </c>
      <c r="M535" s="25" t="n">
        <f aca="false">(B535-L535)/L535</f>
        <v>0</v>
      </c>
    </row>
    <row r="536" customFormat="false" ht="15" hidden="false" customHeight="false" outlineLevel="0" collapsed="false">
      <c r="A536" s="22" t="n">
        <v>46155</v>
      </c>
      <c r="B536" s="23" t="n">
        <v>225.567101</v>
      </c>
      <c r="C536" s="23" t="n">
        <v>742.31</v>
      </c>
      <c r="D536" s="23" t="n">
        <v>714.71</v>
      </c>
      <c r="E536" s="23" t="n">
        <v>445.5</v>
      </c>
      <c r="G536" s="25" t="n">
        <f aca="false">(B536-B535)/B535</f>
        <v>0.0228734483816608</v>
      </c>
      <c r="H536" s="25" t="n">
        <f aca="false">(C536-C535)/C535</f>
        <v>0.00559484136660435</v>
      </c>
      <c r="I536" s="25" t="n">
        <f aca="false">(D536-D535)/D535</f>
        <v>0.0105621853967536</v>
      </c>
      <c r="J536" s="25" t="n">
        <f aca="false">(E536-E535)/E535</f>
        <v>-0.00622364986950416</v>
      </c>
      <c r="L536" s="24" t="n">
        <f aca="false">MAX($B$2:B536)</f>
        <v>225.567101</v>
      </c>
      <c r="M536" s="25" t="n">
        <f aca="false">(B536-L536)/L536</f>
        <v>0</v>
      </c>
    </row>
    <row r="537" customFormat="false" ht="15" hidden="false" customHeight="false" outlineLevel="0" collapsed="false">
      <c r="A537" s="22" t="n">
        <v>46156</v>
      </c>
      <c r="B537" s="23" t="n">
        <v>235.465565</v>
      </c>
      <c r="C537" s="23" t="n">
        <v>748.17</v>
      </c>
      <c r="D537" s="23" t="n">
        <v>719.79</v>
      </c>
      <c r="E537" s="23" t="n">
        <v>449.7</v>
      </c>
      <c r="G537" s="25" t="n">
        <f aca="false">(B537-B536)/B536</f>
        <v>0.0438825695596451</v>
      </c>
      <c r="H537" s="25" t="n">
        <f aca="false">(C537-C536)/C536</f>
        <v>0.00789427597634413</v>
      </c>
      <c r="I537" s="25" t="n">
        <f aca="false">(D537-D536)/D536</f>
        <v>0.00710777797987985</v>
      </c>
      <c r="J537" s="25" t="n">
        <f aca="false">(E537-E536)/E536</f>
        <v>0.0094276094276094</v>
      </c>
      <c r="L537" s="24" t="n">
        <f aca="false">MAX($B$2:B537)</f>
        <v>235.465565</v>
      </c>
      <c r="M537" s="25" t="n">
        <f aca="false">(B537-L537)/L537</f>
        <v>0</v>
      </c>
    </row>
    <row r="538" customFormat="false" ht="15" hidden="false" customHeight="false" outlineLevel="0" collapsed="false">
      <c r="A538" s="22" t="n">
        <v>46157</v>
      </c>
      <c r="B538" s="23" t="n">
        <v>225.057695</v>
      </c>
      <c r="C538" s="23" t="n">
        <v>739.17</v>
      </c>
      <c r="D538" s="23" t="n">
        <v>708.93</v>
      </c>
      <c r="E538" s="23" t="n">
        <v>424.1</v>
      </c>
      <c r="G538" s="25" t="n">
        <f aca="false">(B538-B537)/B537</f>
        <v>-0.0442012402110687</v>
      </c>
      <c r="H538" s="25" t="n">
        <f aca="false">(C538-C537)/C537</f>
        <v>-0.0120293516179478</v>
      </c>
      <c r="I538" s="25" t="n">
        <f aca="false">(D538-D537)/D537</f>
        <v>-0.0150877339223941</v>
      </c>
      <c r="J538" s="25" t="n">
        <f aca="false">(E538-E537)/E537</f>
        <v>-0.0569268401156326</v>
      </c>
      <c r="L538" s="24" t="n">
        <f aca="false">MAX($B$2:B538)</f>
        <v>235.465565</v>
      </c>
      <c r="M538" s="25" t="n">
        <f aca="false">(B538-L538)/L538</f>
        <v>-0.0442012402110687</v>
      </c>
    </row>
    <row r="539" customFormat="false" ht="15" hidden="false" customHeight="false" outlineLevel="0" collapsed="false">
      <c r="A539" s="22" t="n">
        <v>46160</v>
      </c>
      <c r="B539" s="23" t="n">
        <v>222.061187</v>
      </c>
      <c r="C539" s="23" t="n">
        <v>738.65</v>
      </c>
      <c r="D539" s="23" t="n">
        <v>705.88</v>
      </c>
      <c r="E539" s="23" t="n">
        <v>420.99</v>
      </c>
      <c r="G539" s="25" t="n">
        <f aca="false">(B539-B538)/B538</f>
        <v>-0.0133143992254964</v>
      </c>
      <c r="H539" s="25" t="n">
        <f aca="false">(C539-C538)/C538</f>
        <v>-0.000703491754264894</v>
      </c>
      <c r="I539" s="25" t="n">
        <f aca="false">(D539-D538)/D538</f>
        <v>-0.00430225833298063</v>
      </c>
      <c r="J539" s="25" t="n">
        <f aca="false">(E539-E538)/E538</f>
        <v>-0.0073331761377034</v>
      </c>
      <c r="L539" s="24" t="n">
        <f aca="false">MAX($B$2:B539)</f>
        <v>235.465565</v>
      </c>
      <c r="M539" s="25" t="n">
        <f aca="false">(B539-L539)/L539</f>
        <v>-0.0569271264781328</v>
      </c>
    </row>
    <row r="540" customFormat="false" ht="15" hidden="false" customHeight="false" outlineLevel="0" collapsed="false">
      <c r="A540" s="22" t="n">
        <v>46161</v>
      </c>
      <c r="B540" s="23" t="n">
        <v>220.353178</v>
      </c>
      <c r="C540" s="23" t="n">
        <v>733.73</v>
      </c>
      <c r="D540" s="23" t="n">
        <v>701.53</v>
      </c>
      <c r="E540" s="23" t="n">
        <v>414.05</v>
      </c>
      <c r="G540" s="25" t="n">
        <f aca="false">(B540-B539)/B539</f>
        <v>-0.00769161429367653</v>
      </c>
      <c r="H540" s="25" t="n">
        <f aca="false">(C540-C539)/C539</f>
        <v>-0.00666080010830564</v>
      </c>
      <c r="I540" s="25" t="n">
        <f aca="false">(D540-D539)/D539</f>
        <v>-0.00616252054173517</v>
      </c>
      <c r="J540" s="25" t="n">
        <f aca="false">(E540-E539)/E539</f>
        <v>-0.0164849521366303</v>
      </c>
      <c r="L540" s="24" t="n">
        <f aca="false">MAX($B$2:B540)</f>
        <v>235.465565</v>
      </c>
      <c r="M540" s="25" t="n">
        <f aca="false">(B540-L540)/L540</f>
        <v>-0.0641808792720922</v>
      </c>
    </row>
    <row r="541" customFormat="false" ht="15" hidden="false" customHeight="false" outlineLevel="0" collapsed="false">
      <c r="A541" s="22" t="n">
        <v>46162</v>
      </c>
      <c r="B541" s="23" t="n">
        <v>223.209849</v>
      </c>
      <c r="C541" s="23" t="n">
        <v>741.25</v>
      </c>
      <c r="D541" s="23" t="n">
        <v>713.15</v>
      </c>
      <c r="E541" s="23" t="n">
        <v>447.58</v>
      </c>
      <c r="G541" s="25" t="n">
        <f aca="false">(B541-B540)/B540</f>
        <v>0.0129640562751492</v>
      </c>
      <c r="H541" s="25" t="n">
        <f aca="false">(C541-C540)/C540</f>
        <v>0.0102490016763659</v>
      </c>
      <c r="I541" s="25" t="n">
        <f aca="false">(D541-D540)/D540</f>
        <v>0.0165637962738586</v>
      </c>
      <c r="J541" s="25" t="n">
        <f aca="false">(E541-E540)/E540</f>
        <v>0.0809805579036348</v>
      </c>
      <c r="L541" s="24" t="n">
        <f aca="false">MAX($B$2:B541)</f>
        <v>235.465565</v>
      </c>
      <c r="M541" s="25" t="n">
        <f aca="false">(B541-L541)/L541</f>
        <v>-0.052048867527615</v>
      </c>
    </row>
    <row r="542" customFormat="false" ht="15" hidden="false" customHeight="false" outlineLevel="0" collapsed="false">
      <c r="A542" s="22" t="n">
        <v>46163</v>
      </c>
      <c r="B542" s="23" t="n">
        <v>219.254459</v>
      </c>
      <c r="C542" s="23" t="n">
        <v>742.72</v>
      </c>
      <c r="D542" s="23" t="n">
        <v>714.51</v>
      </c>
      <c r="E542" s="23" t="n">
        <v>449.59</v>
      </c>
      <c r="G542" s="25" t="n">
        <f aca="false">(B542-B541)/B541</f>
        <v>-0.0177204994211523</v>
      </c>
      <c r="H542" s="25" t="n">
        <f aca="false">(C542-C541)/C541</f>
        <v>0.00198313659359194</v>
      </c>
      <c r="I542" s="25" t="n">
        <f aca="false">(D542-D541)/D541</f>
        <v>0.00190703218116808</v>
      </c>
      <c r="J542" s="25" t="n">
        <f aca="false">(E542-E541)/E541</f>
        <v>0.00449081728406093</v>
      </c>
      <c r="L542" s="24" t="n">
        <f aca="false">MAX($B$2:B542)</f>
        <v>235.465565</v>
      </c>
      <c r="M542" s="25" t="n">
        <f aca="false">(B542-L542)/L542</f>
        <v>-0.0688470350218725</v>
      </c>
    </row>
    <row r="543" customFormat="false" ht="15" hidden="false" customHeight="false" outlineLevel="0" collapsed="false">
      <c r="A543" s="22" t="n">
        <v>46164</v>
      </c>
      <c r="B543" s="23" t="n">
        <v>215.079325</v>
      </c>
      <c r="C543" s="23" t="n">
        <v>745.64</v>
      </c>
      <c r="D543" s="23" t="n">
        <v>717.54</v>
      </c>
      <c r="E543" s="23" t="n">
        <v>467.51</v>
      </c>
      <c r="G543" s="25" t="n">
        <f aca="false">(B543-B542)/B542</f>
        <v>-0.0190424131807508</v>
      </c>
      <c r="H543" s="25" t="n">
        <f aca="false">(C543-C542)/C542</f>
        <v>0.00393149504523907</v>
      </c>
      <c r="I543" s="25" t="n">
        <f aca="false">(D543-D542)/D542</f>
        <v>0.00424066843011291</v>
      </c>
      <c r="J543" s="25" t="n">
        <f aca="false">(E543-E542)/E542</f>
        <v>0.0398585377788652</v>
      </c>
      <c r="L543" s="24" t="n">
        <f aca="false">MAX($B$2:B543)</f>
        <v>235.465565</v>
      </c>
      <c r="M543" s="25" t="n">
        <f aca="false">(B543-L543)/L543</f>
        <v>-0.0865784345154672</v>
      </c>
    </row>
    <row r="544" customFormat="false" ht="15" hidden="false" customHeight="false" outlineLevel="0" collapsed="false">
      <c r="A544" s="22" t="n">
        <v>46168</v>
      </c>
      <c r="B544" s="23" t="n">
        <v>214.609872</v>
      </c>
      <c r="C544" s="23" t="n">
        <v>750.59</v>
      </c>
      <c r="D544" s="23" t="n">
        <v>730.28</v>
      </c>
      <c r="E544" s="23" t="n">
        <v>503.89</v>
      </c>
      <c r="G544" s="25" t="n">
        <f aca="false">(B544-B543)/B543</f>
        <v>-0.00218269701190487</v>
      </c>
      <c r="H544" s="25" t="n">
        <f aca="false">(C544-C543)/C543</f>
        <v>0.00663859235019587</v>
      </c>
      <c r="I544" s="25" t="n">
        <f aca="false">(D544-D543)/D543</f>
        <v>0.0177551077291858</v>
      </c>
      <c r="J544" s="25" t="n">
        <f aca="false">(E544-E543)/E543</f>
        <v>0.0778165172937477</v>
      </c>
      <c r="L544" s="24" t="n">
        <f aca="false">MAX($B$2:B544)</f>
        <v>235.465565</v>
      </c>
      <c r="M544" s="25" t="n">
        <f aca="false">(B544-L544)/L544</f>
        <v>-0.0885721570370598</v>
      </c>
    </row>
    <row r="545" customFormat="false" ht="15" hidden="false" customHeight="false" outlineLevel="0" collapsed="false">
      <c r="A545" s="22" t="n">
        <v>46169</v>
      </c>
      <c r="B545" s="23" t="n">
        <v>212.352503</v>
      </c>
      <c r="C545" s="23" t="n">
        <v>750.46</v>
      </c>
      <c r="D545" s="23" t="n">
        <v>729.45</v>
      </c>
      <c r="E545" s="23" t="n">
        <v>495.54</v>
      </c>
      <c r="G545" s="25" t="n">
        <f aca="false">(B545-B544)/B544</f>
        <v>-0.0105184769878619</v>
      </c>
      <c r="H545" s="25" t="n">
        <f aca="false">(C545-C544)/C544</f>
        <v>-0.000173197084959826</v>
      </c>
      <c r="I545" s="25" t="n">
        <f aca="false">(D545-D544)/D544</f>
        <v>-0.00113655036424375</v>
      </c>
      <c r="J545" s="25" t="n">
        <f aca="false">(E545-E544)/E544</f>
        <v>-0.0165710770207783</v>
      </c>
      <c r="L545" s="24" t="n">
        <f aca="false">MAX($B$2:B545)</f>
        <v>235.465565</v>
      </c>
      <c r="M545" s="25" t="n">
        <f aca="false">(B545-L545)/L545</f>
        <v>-0.098158989829362</v>
      </c>
    </row>
    <row r="546" customFormat="false" ht="15" hidden="false" customHeight="false" outlineLevel="0" collapsed="false">
      <c r="A546" s="22" t="n">
        <v>46170</v>
      </c>
      <c r="B546" s="23" t="n">
        <v>214.000582</v>
      </c>
      <c r="C546" s="23" t="n">
        <v>754.6</v>
      </c>
      <c r="D546" s="23" t="n">
        <v>735.6</v>
      </c>
      <c r="E546" s="23" t="n">
        <v>518.09</v>
      </c>
      <c r="G546" s="25" t="n">
        <f aca="false">(B546-B545)/B545</f>
        <v>0.00776105285653259</v>
      </c>
      <c r="H546" s="25" t="n">
        <f aca="false">(C546-C545)/C545</f>
        <v>0.00551661647522851</v>
      </c>
      <c r="I546" s="25" t="n">
        <f aca="false">(D546-D545)/D545</f>
        <v>0.00843100966481593</v>
      </c>
      <c r="J546" s="25" t="n">
        <f aca="false">(E546-E545)/E545</f>
        <v>0.0455059127416556</v>
      </c>
      <c r="L546" s="24" t="n">
        <f aca="false">MAX($B$2:B546)</f>
        <v>235.465565</v>
      </c>
      <c r="M546" s="25" t="n">
        <f aca="false">(B546-L546)/L546</f>
        <v>-0.091159754081239</v>
      </c>
    </row>
    <row r="547" customFormat="false" ht="15" hidden="false" customHeight="false" outlineLevel="0" collapsed="false">
      <c r="A547" s="22" t="n">
        <v>46171</v>
      </c>
      <c r="B547" s="23" t="n">
        <v>210.894203</v>
      </c>
      <c r="C547" s="23" t="n">
        <v>756.48</v>
      </c>
      <c r="D547" s="23" t="n">
        <v>738.31</v>
      </c>
      <c r="E547" s="23" t="n">
        <v>516.1</v>
      </c>
      <c r="G547" s="25" t="n">
        <f aca="false">(B547-B546)/B546</f>
        <v>-0.014515750242212</v>
      </c>
      <c r="H547" s="25" t="n">
        <f aca="false">(C547-C546)/C546</f>
        <v>0.00249138616485555</v>
      </c>
      <c r="I547" s="25" t="n">
        <f aca="false">(D547-D546)/D546</f>
        <v>0.00368406742794987</v>
      </c>
      <c r="J547" s="25" t="n">
        <f aca="false">(E547-E546)/E546</f>
        <v>-0.00384103148101683</v>
      </c>
      <c r="L547" s="24" t="n">
        <f aca="false">MAX($B$2:B547)</f>
        <v>235.465565</v>
      </c>
      <c r="M547" s="25" t="n">
        <f aca="false">(B547-L547)/L547</f>
        <v>-0.104352252101066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8" min="6" style="0" width="12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21" t="s">
        <v>57</v>
      </c>
      <c r="B1" s="21" t="s">
        <v>58</v>
      </c>
      <c r="C1" s="21" t="s">
        <v>59</v>
      </c>
      <c r="D1" s="21" t="s">
        <v>60</v>
      </c>
      <c r="F1" s="21" t="s">
        <v>62</v>
      </c>
      <c r="G1" s="21" t="s">
        <v>63</v>
      </c>
      <c r="H1" s="21" t="s">
        <v>64</v>
      </c>
      <c r="J1" s="21" t="s">
        <v>66</v>
      </c>
      <c r="K1" s="21" t="s">
        <v>67</v>
      </c>
    </row>
    <row r="2" customFormat="false" ht="15" hidden="false" customHeight="false" outlineLevel="0" collapsed="false">
      <c r="A2" s="22" t="n">
        <v>44348</v>
      </c>
      <c r="B2" s="23" t="n">
        <v>17.534056</v>
      </c>
      <c r="C2" s="23" t="n">
        <v>394.597</v>
      </c>
      <c r="D2" s="23" t="n">
        <v>325.676773</v>
      </c>
      <c r="J2" s="24" t="n">
        <f aca="false">MAX($B$2:B2)</f>
        <v>17.534056</v>
      </c>
      <c r="K2" s="25" t="n">
        <f aca="false">(B2-J2)/J2</f>
        <v>0</v>
      </c>
    </row>
    <row r="3" customFormat="false" ht="15" hidden="false" customHeight="false" outlineLevel="0" collapsed="false">
      <c r="A3" s="22" t="n">
        <v>44354</v>
      </c>
      <c r="B3" s="23" t="n">
        <v>17.78451</v>
      </c>
      <c r="C3" s="23" t="n">
        <v>396.194</v>
      </c>
      <c r="D3" s="23" t="n">
        <v>331.150006</v>
      </c>
      <c r="F3" s="25" t="n">
        <f aca="false">(B3-B2)/B2</f>
        <v>0.0142838599352027</v>
      </c>
      <c r="G3" s="25" t="n">
        <f aca="false">(C3-C2)/C2</f>
        <v>0.00404716710973484</v>
      </c>
      <c r="H3" s="25" t="n">
        <f aca="false">(D3-D2)/D2</f>
        <v>0.0168057210515286</v>
      </c>
      <c r="J3" s="24" t="n">
        <f aca="false">MAX($B$2:B3)</f>
        <v>17.78451</v>
      </c>
      <c r="K3" s="25" t="n">
        <f aca="false">(B3-J3)/J3</f>
        <v>0</v>
      </c>
    </row>
    <row r="4" customFormat="false" ht="15" hidden="false" customHeight="false" outlineLevel="0" collapsed="false">
      <c r="A4" s="22" t="n">
        <v>44361</v>
      </c>
      <c r="B4" s="23" t="n">
        <v>18.596151</v>
      </c>
      <c r="C4" s="23" t="n">
        <v>388.711</v>
      </c>
      <c r="D4" s="23" t="n">
        <v>332.498905</v>
      </c>
      <c r="F4" s="25" t="n">
        <f aca="false">(B4-B3)/B3</f>
        <v>0.0456375238901717</v>
      </c>
      <c r="G4" s="25" t="n">
        <f aca="false">(C4-C3)/C3</f>
        <v>-0.0188872118204718</v>
      </c>
      <c r="H4" s="25" t="n">
        <f aca="false">(D4-D3)/D3</f>
        <v>0.00407337754962916</v>
      </c>
      <c r="J4" s="24" t="n">
        <f aca="false">MAX($B$2:B4)</f>
        <v>18.596151</v>
      </c>
      <c r="K4" s="25" t="n">
        <f aca="false">(B4-J4)/J4</f>
        <v>0</v>
      </c>
    </row>
    <row r="5" customFormat="false" ht="15" hidden="false" customHeight="false" outlineLevel="0" collapsed="false">
      <c r="A5" s="22" t="n">
        <v>44368</v>
      </c>
      <c r="B5" s="23" t="n">
        <v>18.987504</v>
      </c>
      <c r="C5" s="23" t="n">
        <v>399.662</v>
      </c>
      <c r="D5" s="23" t="n">
        <v>339.52014</v>
      </c>
      <c r="F5" s="25" t="n">
        <f aca="false">(B5-B4)/B4</f>
        <v>0.0210448387948669</v>
      </c>
      <c r="G5" s="25" t="n">
        <f aca="false">(C5-C4)/C4</f>
        <v>0.0281726012384521</v>
      </c>
      <c r="H5" s="25" t="n">
        <f aca="false">(D5-D4)/D4</f>
        <v>0.0211165657823747</v>
      </c>
      <c r="J5" s="24" t="n">
        <f aca="false">MAX($B$2:B5)</f>
        <v>18.987504</v>
      </c>
      <c r="K5" s="25" t="n">
        <f aca="false">(B5-J5)/J5</f>
        <v>0</v>
      </c>
    </row>
    <row r="6" customFormat="false" ht="15" hidden="false" customHeight="false" outlineLevel="0" collapsed="false">
      <c r="A6" s="22" t="n">
        <v>44375</v>
      </c>
      <c r="B6" s="23" t="n">
        <v>20.440177</v>
      </c>
      <c r="C6" s="23" t="n">
        <v>406.323</v>
      </c>
      <c r="D6" s="23" t="n">
        <v>348.439029</v>
      </c>
      <c r="F6" s="25" t="n">
        <f aca="false">(B6-B5)/B5</f>
        <v>0.0765067909926443</v>
      </c>
      <c r="G6" s="25" t="n">
        <f aca="false">(C6-C5)/C5</f>
        <v>0.0166665832628571</v>
      </c>
      <c r="H6" s="25" t="n">
        <f aca="false">(D6-D5)/D5</f>
        <v>0.0262691014441735</v>
      </c>
      <c r="J6" s="24" t="n">
        <f aca="false">MAX($B$2:B6)</f>
        <v>20.440177</v>
      </c>
      <c r="K6" s="25" t="n">
        <f aca="false">(B6-J6)/J6</f>
        <v>0</v>
      </c>
    </row>
    <row r="7" customFormat="false" ht="15" hidden="false" customHeight="false" outlineLevel="0" collapsed="false">
      <c r="A7" s="22" t="n">
        <v>44383</v>
      </c>
      <c r="B7" s="23" t="n">
        <v>20.004425</v>
      </c>
      <c r="C7" s="23" t="n">
        <v>408.01</v>
      </c>
      <c r="D7" s="23" t="n">
        <v>350.741618</v>
      </c>
      <c r="F7" s="25" t="n">
        <f aca="false">(B7-B6)/B6</f>
        <v>-0.0213184063914905</v>
      </c>
      <c r="G7" s="25" t="n">
        <f aca="false">(C7-C6)/C6</f>
        <v>0.00415186932563505</v>
      </c>
      <c r="H7" s="25" t="n">
        <f aca="false">(D7-D6)/D6</f>
        <v>0.00660829817660872</v>
      </c>
      <c r="J7" s="24" t="n">
        <f aca="false">MAX($B$2:B7)</f>
        <v>20.440177</v>
      </c>
      <c r="K7" s="25" t="n">
        <f aca="false">(B7-J7)/J7</f>
        <v>-0.0213184063914905</v>
      </c>
    </row>
    <row r="8" customFormat="false" ht="15" hidden="false" customHeight="false" outlineLevel="0" collapsed="false">
      <c r="A8" s="22" t="n">
        <v>44389</v>
      </c>
      <c r="B8" s="23" t="n">
        <v>18.119493</v>
      </c>
      <c r="C8" s="23" t="n">
        <v>404.094</v>
      </c>
      <c r="D8" s="23" t="n">
        <v>347.42861</v>
      </c>
      <c r="F8" s="25" t="n">
        <f aca="false">(B8-B7)/B7</f>
        <v>-0.094225752552248</v>
      </c>
      <c r="G8" s="25" t="n">
        <f aca="false">(C8-C7)/C7</f>
        <v>-0.00959780397539275</v>
      </c>
      <c r="H8" s="25" t="n">
        <f aca="false">(D8-D7)/D7</f>
        <v>-0.00944572252044531</v>
      </c>
      <c r="J8" s="24" t="n">
        <f aca="false">MAX($B$2:B8)</f>
        <v>20.440177</v>
      </c>
      <c r="K8" s="25" t="n">
        <f aca="false">(B8-J8)/J8</f>
        <v>-0.113535416058286</v>
      </c>
    </row>
    <row r="9" customFormat="false" ht="15" hidden="false" customHeight="false" outlineLevel="0" collapsed="false">
      <c r="A9" s="22" t="n">
        <v>44396</v>
      </c>
      <c r="B9" s="23" t="n">
        <v>19.5133</v>
      </c>
      <c r="C9" s="23" t="n">
        <v>412.15</v>
      </c>
      <c r="D9" s="23" t="n">
        <v>357.727109</v>
      </c>
      <c r="F9" s="25" t="n">
        <f aca="false">(B9-B8)/B8</f>
        <v>0.0769230684324337</v>
      </c>
      <c r="G9" s="25" t="n">
        <f aca="false">(C9-C8)/C8</f>
        <v>0.0199359554955035</v>
      </c>
      <c r="H9" s="25" t="n">
        <f aca="false">(D9-D8)/D8</f>
        <v>0.0296420579755939</v>
      </c>
      <c r="J9" s="24" t="n">
        <f aca="false">MAX($B$2:B9)</f>
        <v>20.440177</v>
      </c>
      <c r="K9" s="25" t="n">
        <f aca="false">(B9-J9)/J9</f>
        <v>-0.0453458402048083</v>
      </c>
    </row>
    <row r="10" customFormat="false" ht="15" hidden="false" customHeight="false" outlineLevel="0" collapsed="false">
      <c r="A10" s="22" t="n">
        <v>44403</v>
      </c>
      <c r="B10" s="23" t="n">
        <v>19.454435</v>
      </c>
      <c r="C10" s="23" t="n">
        <v>410.811</v>
      </c>
      <c r="D10" s="23" t="n">
        <v>354.200359</v>
      </c>
      <c r="F10" s="25" t="n">
        <f aca="false">(B10-B9)/B9</f>
        <v>-0.0030166604316031</v>
      </c>
      <c r="G10" s="25" t="n">
        <f aca="false">(C10-C9)/C9</f>
        <v>-0.00324881717821181</v>
      </c>
      <c r="H10" s="25" t="n">
        <f aca="false">(D10-D9)/D9</f>
        <v>-0.00985877198364632</v>
      </c>
      <c r="J10" s="24" t="n">
        <f aca="false">MAX($B$2:B10)</f>
        <v>20.440177</v>
      </c>
      <c r="K10" s="25" t="n">
        <f aca="false">(B10-J10)/J10</f>
        <v>-0.0482257076345277</v>
      </c>
    </row>
    <row r="11" customFormat="false" ht="15" hidden="false" customHeight="false" outlineLevel="0" collapsed="false">
      <c r="A11" s="22" t="n">
        <v>44410</v>
      </c>
      <c r="B11" s="23" t="n">
        <v>20.319453</v>
      </c>
      <c r="C11" s="23" t="n">
        <v>414.539</v>
      </c>
      <c r="D11" s="23" t="n">
        <v>357.581376</v>
      </c>
      <c r="F11" s="25" t="n">
        <f aca="false">(B11-B10)/B10</f>
        <v>0.0444637945023846</v>
      </c>
      <c r="G11" s="25" t="n">
        <f aca="false">(C11-C10)/C10</f>
        <v>0.00907473266295208</v>
      </c>
      <c r="H11" s="25" t="n">
        <f aca="false">(D11-D10)/D10</f>
        <v>0.00954549286608709</v>
      </c>
      <c r="J11" s="24" t="n">
        <f aca="false">MAX($B$2:B11)</f>
        <v>20.440177</v>
      </c>
      <c r="K11" s="25" t="n">
        <f aca="false">(B11-J11)/J11</f>
        <v>-0.00590621108613684</v>
      </c>
    </row>
    <row r="12" customFormat="false" ht="15" hidden="false" customHeight="false" outlineLevel="0" collapsed="false">
      <c r="A12" s="22" t="n">
        <v>44417</v>
      </c>
      <c r="B12" s="23" t="n">
        <v>20.14186</v>
      </c>
      <c r="C12" s="23" t="n">
        <v>417.753</v>
      </c>
      <c r="D12" s="23" t="n">
        <v>358.329474</v>
      </c>
      <c r="F12" s="25" t="n">
        <f aca="false">(B12-B11)/B11</f>
        <v>-0.00874004826803153</v>
      </c>
      <c r="G12" s="25" t="n">
        <f aca="false">(C12-C11)/C11</f>
        <v>0.00775319089398102</v>
      </c>
      <c r="H12" s="25" t="n">
        <f aca="false">(D12-D11)/D11</f>
        <v>0.00209210560227842</v>
      </c>
      <c r="J12" s="24" t="n">
        <f aca="false">MAX($B$2:B12)</f>
        <v>20.440177</v>
      </c>
      <c r="K12" s="25" t="n">
        <f aca="false">(B12-J12)/J12</f>
        <v>-0.0145946387841943</v>
      </c>
    </row>
    <row r="13" customFormat="false" ht="15" hidden="false" customHeight="false" outlineLevel="0" collapsed="false">
      <c r="A13" s="22" t="n">
        <v>44424</v>
      </c>
      <c r="B13" s="23" t="n">
        <v>20.768425</v>
      </c>
      <c r="C13" s="23" t="n">
        <v>415.354</v>
      </c>
      <c r="D13" s="23" t="n">
        <v>357.270478</v>
      </c>
      <c r="F13" s="25" t="n">
        <f aca="false">(B13-B12)/B12</f>
        <v>0.0311076037664843</v>
      </c>
      <c r="G13" s="25" t="n">
        <f aca="false">(C13-C12)/C12</f>
        <v>-0.00574262782074575</v>
      </c>
      <c r="H13" s="25" t="n">
        <f aca="false">(D13-D12)/D12</f>
        <v>-0.0029553695044354</v>
      </c>
      <c r="J13" s="24" t="n">
        <f aca="false">MAX($B$2:B13)</f>
        <v>20.768425</v>
      </c>
      <c r="K13" s="25" t="n">
        <f aca="false">(B13-J13)/J13</f>
        <v>0</v>
      </c>
    </row>
    <row r="14" customFormat="false" ht="15" hidden="false" customHeight="false" outlineLevel="0" collapsed="false">
      <c r="A14" s="22" t="n">
        <v>44431</v>
      </c>
      <c r="B14" s="23" t="n">
        <v>22.584265</v>
      </c>
      <c r="C14" s="23" t="n">
        <v>421.809</v>
      </c>
      <c r="D14" s="23" t="n">
        <v>365.344112</v>
      </c>
      <c r="F14" s="25" t="n">
        <f aca="false">(B14-B13)/B13</f>
        <v>0.0874327253992538</v>
      </c>
      <c r="G14" s="25" t="n">
        <f aca="false">(C14-C13)/C13</f>
        <v>0.0155409602411438</v>
      </c>
      <c r="H14" s="25" t="n">
        <f aca="false">(D14-D13)/D13</f>
        <v>0.0225981000310918</v>
      </c>
      <c r="J14" s="24" t="n">
        <f aca="false">MAX($B$2:B14)</f>
        <v>22.584265</v>
      </c>
      <c r="K14" s="25" t="n">
        <f aca="false">(B14-J14)/J14</f>
        <v>0</v>
      </c>
    </row>
    <row r="15" customFormat="false" ht="15" hidden="false" customHeight="false" outlineLevel="0" collapsed="false">
      <c r="A15" s="22" t="n">
        <v>44438</v>
      </c>
      <c r="B15" s="23" t="n">
        <v>22.794811</v>
      </c>
      <c r="C15" s="23" t="n">
        <v>424.46</v>
      </c>
      <c r="D15" s="23" t="n">
        <v>370.71682</v>
      </c>
      <c r="F15" s="25" t="n">
        <f aca="false">(B15-B14)/B14</f>
        <v>0.00932268550692266</v>
      </c>
      <c r="G15" s="25" t="n">
        <f aca="false">(C15-C14)/C14</f>
        <v>0.00628483507938416</v>
      </c>
      <c r="H15" s="25" t="n">
        <f aca="false">(D15-D14)/D14</f>
        <v>0.0147058836410096</v>
      </c>
      <c r="J15" s="24" t="n">
        <f aca="false">MAX($B$2:B15)</f>
        <v>22.794811</v>
      </c>
      <c r="K15" s="25" t="n">
        <f aca="false">(B15-J15)/J15</f>
        <v>0</v>
      </c>
    </row>
    <row r="16" customFormat="false" ht="15" hidden="false" customHeight="false" outlineLevel="0" collapsed="false">
      <c r="A16" s="22" t="n">
        <v>44446</v>
      </c>
      <c r="B16" s="23" t="n">
        <v>22.430581</v>
      </c>
      <c r="C16" s="23" t="n">
        <v>417.303</v>
      </c>
      <c r="D16" s="23" t="n">
        <v>365.878469</v>
      </c>
      <c r="F16" s="25" t="n">
        <f aca="false">(B16-B15)/B15</f>
        <v>-0.0159786365414479</v>
      </c>
      <c r="G16" s="25" t="n">
        <f aca="false">(C16-C15)/C15</f>
        <v>-0.0168614239268718</v>
      </c>
      <c r="H16" s="25" t="n">
        <f aca="false">(D16-D15)/D15</f>
        <v>-0.0130513392945051</v>
      </c>
      <c r="J16" s="24" t="n">
        <f aca="false">MAX($B$2:B16)</f>
        <v>22.794811</v>
      </c>
      <c r="K16" s="25" t="n">
        <f aca="false">(B16-J16)/J16</f>
        <v>-0.0159786365414479</v>
      </c>
    </row>
    <row r="17" customFormat="false" ht="15" hidden="false" customHeight="false" outlineLevel="0" collapsed="false">
      <c r="A17" s="22" t="n">
        <v>44452</v>
      </c>
      <c r="B17" s="23" t="n">
        <v>21.8538</v>
      </c>
      <c r="C17" s="23" t="n">
        <v>414.856</v>
      </c>
      <c r="D17" s="23" t="n">
        <v>363.196973</v>
      </c>
      <c r="F17" s="25" t="n">
        <f aca="false">(B17-B16)/B16</f>
        <v>-0.0257140463726731</v>
      </c>
      <c r="G17" s="25" t="n">
        <f aca="false">(C17-C16)/C16</f>
        <v>-0.0058638447363187</v>
      </c>
      <c r="H17" s="25" t="n">
        <f aca="false">(D17-D16)/D16</f>
        <v>-0.00732892538697045</v>
      </c>
      <c r="J17" s="24" t="n">
        <f aca="false">MAX($B$2:B17)</f>
        <v>22.794811</v>
      </c>
      <c r="K17" s="25" t="n">
        <f aca="false">(B17-J17)/J17</f>
        <v>-0.0412818075131222</v>
      </c>
    </row>
    <row r="18" customFormat="false" ht="15" hidden="false" customHeight="false" outlineLevel="0" collapsed="false">
      <c r="A18" s="22" t="n">
        <v>44459</v>
      </c>
      <c r="B18" s="23" t="n">
        <v>22.034418</v>
      </c>
      <c r="C18" s="23" t="n">
        <v>417.215</v>
      </c>
      <c r="D18" s="23" t="n">
        <v>363.113239</v>
      </c>
      <c r="F18" s="25" t="n">
        <f aca="false">(B18-B17)/B17</f>
        <v>0.0082648326606814</v>
      </c>
      <c r="G18" s="25" t="n">
        <f aca="false">(C18-C17)/C17</f>
        <v>0.0056863104306072</v>
      </c>
      <c r="H18" s="25" t="n">
        <f aca="false">(D18-D17)/D17</f>
        <v>-0.000230547075622221</v>
      </c>
      <c r="J18" s="24" t="n">
        <f aca="false">MAX($B$2:B18)</f>
        <v>22.794811</v>
      </c>
      <c r="K18" s="25" t="n">
        <f aca="false">(B18-J18)/J18</f>
        <v>-0.0333581620834672</v>
      </c>
    </row>
    <row r="19" customFormat="false" ht="15" hidden="false" customHeight="false" outlineLevel="0" collapsed="false">
      <c r="A19" s="22" t="n">
        <v>44466</v>
      </c>
      <c r="B19" s="23" t="n">
        <v>20.698243</v>
      </c>
      <c r="C19" s="23" t="n">
        <v>408.127</v>
      </c>
      <c r="D19" s="23" t="n">
        <v>350.323109</v>
      </c>
      <c r="F19" s="25" t="n">
        <f aca="false">(B19-B18)/B18</f>
        <v>-0.0606403581887208</v>
      </c>
      <c r="G19" s="25" t="n">
        <f aca="false">(C19-C18)/C18</f>
        <v>-0.0217825341850124</v>
      </c>
      <c r="H19" s="25" t="n">
        <f aca="false">(D19-D18)/D18</f>
        <v>-0.0352235298146208</v>
      </c>
      <c r="J19" s="24" t="n">
        <f aca="false">MAX($B$2:B19)</f>
        <v>22.794811</v>
      </c>
      <c r="K19" s="25" t="n">
        <f aca="false">(B19-J19)/J19</f>
        <v>-0.0919756693749291</v>
      </c>
    </row>
    <row r="20" customFormat="false" ht="15" hidden="false" customHeight="false" outlineLevel="0" collapsed="false">
      <c r="A20" s="22" t="n">
        <v>44473</v>
      </c>
      <c r="B20" s="23" t="n">
        <v>20.787055</v>
      </c>
      <c r="C20" s="23" t="n">
        <v>411.529</v>
      </c>
      <c r="D20" s="23" t="n">
        <v>351.27629</v>
      </c>
      <c r="F20" s="25" t="n">
        <f aca="false">(B20-B19)/B19</f>
        <v>0.00429079898230962</v>
      </c>
      <c r="G20" s="25" t="n">
        <f aca="false">(C20-C19)/C19</f>
        <v>0.0083356406216692</v>
      </c>
      <c r="H20" s="25" t="n">
        <f aca="false">(D20-D19)/D19</f>
        <v>0.00272086247099397</v>
      </c>
      <c r="J20" s="24" t="n">
        <f aca="false">MAX($B$2:B20)</f>
        <v>22.794811</v>
      </c>
      <c r="K20" s="25" t="n">
        <f aca="false">(B20-J20)/J20</f>
        <v>-0.0880795195011707</v>
      </c>
    </row>
    <row r="21" customFormat="false" ht="15" hidden="false" customHeight="false" outlineLevel="0" collapsed="false">
      <c r="A21" s="22" t="n">
        <v>44480</v>
      </c>
      <c r="B21" s="23" t="n">
        <v>21.81588</v>
      </c>
      <c r="C21" s="23" t="n">
        <v>419.057</v>
      </c>
      <c r="D21" s="23" t="n">
        <v>358.843378</v>
      </c>
      <c r="F21" s="25" t="n">
        <f aca="false">(B21-B20)/B20</f>
        <v>0.0494935429766266</v>
      </c>
      <c r="G21" s="25" t="n">
        <f aca="false">(C21-C20)/C20</f>
        <v>0.0182927570110491</v>
      </c>
      <c r="H21" s="25" t="n">
        <f aca="false">(D21-D20)/D20</f>
        <v>0.0215416987010423</v>
      </c>
      <c r="J21" s="24" t="n">
        <f aca="false">MAX($B$2:B21)</f>
        <v>22.794811</v>
      </c>
      <c r="K21" s="25" t="n">
        <f aca="false">(B21-J21)/J21</f>
        <v>-0.0429453440083359</v>
      </c>
    </row>
    <row r="22" customFormat="false" ht="15" hidden="false" customHeight="false" outlineLevel="0" collapsed="false">
      <c r="A22" s="22" t="n">
        <v>44487</v>
      </c>
      <c r="B22" s="23" t="n">
        <v>22.678057</v>
      </c>
      <c r="C22" s="23" t="n">
        <v>425.871</v>
      </c>
      <c r="D22" s="23" t="n">
        <v>363.862166</v>
      </c>
      <c r="F22" s="25" t="n">
        <f aca="false">(B22-B21)/B21</f>
        <v>0.039520615258243</v>
      </c>
      <c r="G22" s="25" t="n">
        <f aca="false">(C22-C21)/C21</f>
        <v>0.0162603178087944</v>
      </c>
      <c r="H22" s="25" t="n">
        <f aca="false">(D22-D21)/D21</f>
        <v>0.0139860125829047</v>
      </c>
      <c r="J22" s="24" t="n">
        <f aca="false">MAX($B$2:B22)</f>
        <v>22.794811</v>
      </c>
      <c r="K22" s="25" t="n">
        <f aca="false">(B22-J22)/J22</f>
        <v>-0.0051219551677792</v>
      </c>
    </row>
    <row r="23" customFormat="false" ht="15" hidden="false" customHeight="false" outlineLevel="0" collapsed="false">
      <c r="A23" s="22" t="n">
        <v>44494</v>
      </c>
      <c r="B23" s="23" t="n">
        <v>25.513064</v>
      </c>
      <c r="C23" s="23" t="n">
        <v>431.633</v>
      </c>
      <c r="D23" s="23" t="n">
        <v>375.543494</v>
      </c>
      <c r="F23" s="25" t="n">
        <f aca="false">(B23-B22)/B22</f>
        <v>0.125011018360171</v>
      </c>
      <c r="G23" s="25" t="n">
        <f aca="false">(C23-C22)/C22</f>
        <v>0.0135299186842964</v>
      </c>
      <c r="H23" s="25" t="n">
        <f aca="false">(D23-D22)/D22</f>
        <v>0.032103716988262</v>
      </c>
      <c r="J23" s="24" t="n">
        <f aca="false">MAX($B$2:B23)</f>
        <v>25.513064</v>
      </c>
      <c r="K23" s="25" t="n">
        <f aca="false">(B23-J23)/J23</f>
        <v>0</v>
      </c>
    </row>
    <row r="24" customFormat="false" ht="15" hidden="false" customHeight="false" outlineLevel="0" collapsed="false">
      <c r="A24" s="22" t="n">
        <v>44501</v>
      </c>
      <c r="B24" s="23" t="n">
        <v>29.689236</v>
      </c>
      <c r="C24" s="23" t="n">
        <v>440.355</v>
      </c>
      <c r="D24" s="23" t="n">
        <v>387.691685</v>
      </c>
      <c r="F24" s="25" t="n">
        <f aca="false">(B24-B23)/B23</f>
        <v>0.163687591580533</v>
      </c>
      <c r="G24" s="25" t="n">
        <f aca="false">(C24-C23)/C23</f>
        <v>0.0202069813939158</v>
      </c>
      <c r="H24" s="25" t="n">
        <f aca="false">(D24-D23)/D23</f>
        <v>0.032348293058167</v>
      </c>
      <c r="J24" s="24" t="n">
        <f aca="false">MAX($B$2:B24)</f>
        <v>29.689236</v>
      </c>
      <c r="K24" s="25" t="n">
        <f aca="false">(B24-J24)/J24</f>
        <v>0</v>
      </c>
    </row>
    <row r="25" customFormat="false" ht="15" hidden="false" customHeight="false" outlineLevel="0" collapsed="false">
      <c r="A25" s="22" t="n">
        <v>44508</v>
      </c>
      <c r="B25" s="23" t="n">
        <v>30.32589</v>
      </c>
      <c r="C25" s="23" t="n">
        <v>439.17</v>
      </c>
      <c r="D25" s="23" t="n">
        <v>383.898415</v>
      </c>
      <c r="F25" s="25" t="n">
        <f aca="false">(B25-B24)/B24</f>
        <v>0.021443933417485</v>
      </c>
      <c r="G25" s="25" t="n">
        <f aca="false">(C25-C24)/C24</f>
        <v>-0.00269101066185237</v>
      </c>
      <c r="H25" s="25" t="n">
        <f aca="false">(D25-D24)/D24</f>
        <v>-0.00978424388957428</v>
      </c>
      <c r="J25" s="24" t="n">
        <f aca="false">MAX($B$2:B25)</f>
        <v>30.32589</v>
      </c>
      <c r="K25" s="25" t="n">
        <f aca="false">(B25-J25)/J25</f>
        <v>0</v>
      </c>
    </row>
    <row r="26" customFormat="false" ht="15" hidden="false" customHeight="false" outlineLevel="0" collapsed="false">
      <c r="A26" s="22" t="n">
        <v>44515</v>
      </c>
      <c r="B26" s="23" t="n">
        <v>32.915415</v>
      </c>
      <c r="C26" s="23" t="n">
        <v>440.693</v>
      </c>
      <c r="D26" s="23" t="n">
        <v>392.93418</v>
      </c>
      <c r="F26" s="25" t="n">
        <f aca="false">(B26-B25)/B25</f>
        <v>0.0853899094140354</v>
      </c>
      <c r="G26" s="25" t="n">
        <f aca="false">(C26-C25)/C25</f>
        <v>0.00346790536694211</v>
      </c>
      <c r="H26" s="25" t="n">
        <f aca="false">(D26-D25)/D25</f>
        <v>0.0235368645635071</v>
      </c>
      <c r="J26" s="24" t="n">
        <f aca="false">MAX($B$2:B26)</f>
        <v>32.915415</v>
      </c>
      <c r="K26" s="25" t="n">
        <f aca="false">(B26-J26)/J26</f>
        <v>0</v>
      </c>
    </row>
    <row r="27" customFormat="false" ht="15" hidden="false" customHeight="false" outlineLevel="0" collapsed="false">
      <c r="A27" s="22" t="n">
        <v>44522</v>
      </c>
      <c r="B27" s="23" t="n">
        <v>31.436542</v>
      </c>
      <c r="C27" s="23" t="n">
        <v>431.369</v>
      </c>
      <c r="D27" s="23" t="n">
        <v>380.494198</v>
      </c>
      <c r="F27" s="25" t="n">
        <f aca="false">(B27-B26)/B26</f>
        <v>-0.0449294958000683</v>
      </c>
      <c r="G27" s="25" t="n">
        <f aca="false">(C27-C26)/C26</f>
        <v>-0.0211575858931273</v>
      </c>
      <c r="H27" s="25" t="n">
        <f aca="false">(D27-D26)/D26</f>
        <v>-0.0316592005307353</v>
      </c>
      <c r="J27" s="24" t="n">
        <f aca="false">MAX($B$2:B27)</f>
        <v>32.915415</v>
      </c>
      <c r="K27" s="25" t="n">
        <f aca="false">(B27-J27)/J27</f>
        <v>-0.0449294958000683</v>
      </c>
    </row>
    <row r="28" customFormat="false" ht="15" hidden="false" customHeight="false" outlineLevel="0" collapsed="false">
      <c r="A28" s="22" t="n">
        <v>44529</v>
      </c>
      <c r="B28" s="23" t="n">
        <v>30.632</v>
      </c>
      <c r="C28" s="23" t="n">
        <v>426.153</v>
      </c>
      <c r="D28" s="23" t="n">
        <v>372.645046</v>
      </c>
      <c r="F28" s="25" t="n">
        <f aca="false">(B28-B27)/B27</f>
        <v>-0.0255925731271588</v>
      </c>
      <c r="G28" s="25" t="n">
        <f aca="false">(C28-C27)/C27</f>
        <v>-0.0120917358456449</v>
      </c>
      <c r="H28" s="25" t="n">
        <f aca="false">(D28-D27)/D27</f>
        <v>-0.0206288349237851</v>
      </c>
      <c r="J28" s="24" t="n">
        <f aca="false">MAX($B$2:B28)</f>
        <v>32.915415</v>
      </c>
      <c r="K28" s="25" t="n">
        <f aca="false">(B28-J28)/J28</f>
        <v>-0.0693722075203974</v>
      </c>
    </row>
    <row r="29" customFormat="false" ht="15" hidden="false" customHeight="false" outlineLevel="0" collapsed="false">
      <c r="A29" s="22" t="n">
        <v>44536</v>
      </c>
      <c r="B29" s="23" t="n">
        <v>30.137984</v>
      </c>
      <c r="C29" s="23" t="n">
        <v>442.432</v>
      </c>
      <c r="D29" s="23" t="n">
        <v>387.117832</v>
      </c>
      <c r="F29" s="25" t="n">
        <f aca="false">(B29-B28)/B28</f>
        <v>-0.0161274484199531</v>
      </c>
      <c r="G29" s="25" t="n">
        <f aca="false">(C29-C28)/C28</f>
        <v>0.0381998953427525</v>
      </c>
      <c r="H29" s="25" t="n">
        <f aca="false">(D29-D28)/D28</f>
        <v>0.0388379938371703</v>
      </c>
      <c r="J29" s="24" t="n">
        <f aca="false">MAX($B$2:B29)</f>
        <v>32.915415</v>
      </c>
      <c r="K29" s="25" t="n">
        <f aca="false">(B29-J29)/J29</f>
        <v>-0.084380859241787</v>
      </c>
    </row>
    <row r="30" customFormat="false" ht="15" hidden="false" customHeight="false" outlineLevel="0" collapsed="false">
      <c r="A30" s="22" t="n">
        <v>44543</v>
      </c>
      <c r="B30" s="23" t="n">
        <v>27.745748</v>
      </c>
      <c r="C30" s="23" t="n">
        <v>433.751</v>
      </c>
      <c r="D30" s="23" t="n">
        <v>374.376334</v>
      </c>
      <c r="F30" s="25" t="n">
        <f aca="false">(B30-B29)/B29</f>
        <v>-0.079376112217725</v>
      </c>
      <c r="G30" s="25" t="n">
        <f aca="false">(C30-C29)/C29</f>
        <v>-0.0196210943150587</v>
      </c>
      <c r="H30" s="25" t="n">
        <f aca="false">(D30-D29)/D29</f>
        <v>-0.0329137460141594</v>
      </c>
      <c r="J30" s="24" t="n">
        <f aca="false">MAX($B$2:B30)</f>
        <v>32.915415</v>
      </c>
      <c r="K30" s="25" t="n">
        <f aca="false">(B30-J30)/J30</f>
        <v>-0.157059146907308</v>
      </c>
    </row>
    <row r="31" customFormat="false" ht="15" hidden="false" customHeight="false" outlineLevel="0" collapsed="false">
      <c r="A31" s="22" t="n">
        <v>44550</v>
      </c>
      <c r="B31" s="23" t="n">
        <v>29.581093</v>
      </c>
      <c r="C31" s="23" t="n">
        <v>443.871</v>
      </c>
      <c r="D31" s="23" t="n">
        <v>386.551166</v>
      </c>
      <c r="F31" s="25" t="n">
        <f aca="false">(B31-B30)/B30</f>
        <v>0.0661486942071268</v>
      </c>
      <c r="G31" s="25" t="n">
        <f aca="false">(C31-C30)/C30</f>
        <v>0.0233313583138713</v>
      </c>
      <c r="H31" s="25" t="n">
        <f aca="false">(D31-D30)/D30</f>
        <v>0.0325203034869187</v>
      </c>
      <c r="J31" s="24" t="n">
        <f aca="false">MAX($B$2:B31)</f>
        <v>32.915415</v>
      </c>
      <c r="K31" s="25" t="n">
        <f aca="false">(B31-J31)/J31</f>
        <v>-0.101299710181385</v>
      </c>
    </row>
    <row r="32" customFormat="false" ht="15" hidden="false" customHeight="false" outlineLevel="0" collapsed="false">
      <c r="A32" s="22" t="n">
        <v>44557</v>
      </c>
      <c r="B32" s="23" t="n">
        <v>29.352548</v>
      </c>
      <c r="C32" s="23" t="n">
        <v>447.983</v>
      </c>
      <c r="D32" s="23" t="n">
        <v>387.456872</v>
      </c>
      <c r="F32" s="25" t="n">
        <f aca="false">(B32-B31)/B31</f>
        <v>-0.00772604987922524</v>
      </c>
      <c r="G32" s="25" t="n">
        <f aca="false">(C32-C31)/C31</f>
        <v>0.00926395281511976</v>
      </c>
      <c r="H32" s="25" t="n">
        <f aca="false">(D32-D31)/D31</f>
        <v>0.00234304299058809</v>
      </c>
      <c r="J32" s="24" t="n">
        <f aca="false">MAX($B$2:B32)</f>
        <v>32.915415</v>
      </c>
      <c r="K32" s="25" t="n">
        <f aca="false">(B32-J32)/J32</f>
        <v>-0.108243113446998</v>
      </c>
    </row>
    <row r="33" customFormat="false" ht="15" hidden="false" customHeight="false" outlineLevel="0" collapsed="false">
      <c r="A33" s="22" t="n">
        <v>44564</v>
      </c>
      <c r="B33" s="23" t="n">
        <v>27.192849</v>
      </c>
      <c r="C33" s="23" t="n">
        <v>439.617</v>
      </c>
      <c r="D33" s="23" t="n">
        <v>369.936829</v>
      </c>
      <c r="F33" s="25" t="n">
        <f aca="false">(B33-B32)/B32</f>
        <v>-0.0735779054002399</v>
      </c>
      <c r="G33" s="25" t="n">
        <f aca="false">(C33-C32)/C32</f>
        <v>-0.0186748157854204</v>
      </c>
      <c r="H33" s="25" t="n">
        <f aca="false">(D33-D32)/D32</f>
        <v>-0.0452180468746467</v>
      </c>
      <c r="J33" s="24" t="n">
        <f aca="false">MAX($B$2:B33)</f>
        <v>32.915415</v>
      </c>
      <c r="K33" s="25" t="n">
        <f aca="false">(B33-J33)/J33</f>
        <v>-0.173856717285807</v>
      </c>
    </row>
    <row r="34" customFormat="false" ht="15" hidden="false" customHeight="false" outlineLevel="0" collapsed="false">
      <c r="A34" s="22" t="n">
        <v>44571</v>
      </c>
      <c r="B34" s="23" t="n">
        <v>26.888455</v>
      </c>
      <c r="C34" s="23" t="n">
        <v>438.325</v>
      </c>
      <c r="D34" s="23" t="n">
        <v>370.08291</v>
      </c>
      <c r="F34" s="25" t="n">
        <f aca="false">(B34-B33)/B33</f>
        <v>-0.0111938988077343</v>
      </c>
      <c r="G34" s="25" t="n">
        <f aca="false">(C34-C33)/C33</f>
        <v>-0.00293892183423305</v>
      </c>
      <c r="H34" s="25" t="n">
        <f aca="false">(D34-D33)/D33</f>
        <v>0.000394880932495742</v>
      </c>
      <c r="J34" s="24" t="n">
        <f aca="false">MAX($B$2:B34)</f>
        <v>32.915415</v>
      </c>
      <c r="K34" s="25" t="n">
        <f aca="false">(B34-J34)/J34</f>
        <v>-0.183104481593199</v>
      </c>
    </row>
    <row r="35" customFormat="false" ht="15" hidden="false" customHeight="false" outlineLevel="0" collapsed="false">
      <c r="A35" s="22" t="n">
        <v>44579</v>
      </c>
      <c r="B35" s="23" t="n">
        <v>23.327546</v>
      </c>
      <c r="C35" s="23" t="n">
        <v>413.104</v>
      </c>
      <c r="D35" s="23" t="n">
        <v>342.50272</v>
      </c>
      <c r="F35" s="25" t="n">
        <f aca="false">(B35-B34)/B34</f>
        <v>-0.132432636981188</v>
      </c>
      <c r="G35" s="25" t="n">
        <f aca="false">(C35-C34)/C34</f>
        <v>-0.0575394969486112</v>
      </c>
      <c r="H35" s="25" t="n">
        <f aca="false">(D35-D34)/D34</f>
        <v>-0.0745243545561183</v>
      </c>
      <c r="J35" s="24" t="n">
        <f aca="false">MAX($B$2:B35)</f>
        <v>32.915415</v>
      </c>
      <c r="K35" s="25" t="n">
        <f aca="false">(B35-J35)/J35</f>
        <v>-0.291288109233926</v>
      </c>
    </row>
    <row r="36" customFormat="false" ht="15" hidden="false" customHeight="false" outlineLevel="0" collapsed="false">
      <c r="A36" s="22" t="n">
        <v>44585</v>
      </c>
      <c r="B36" s="23" t="n">
        <v>22.794607</v>
      </c>
      <c r="C36" s="23" t="n">
        <v>416.848</v>
      </c>
      <c r="D36" s="23" t="n">
        <v>342.609847</v>
      </c>
      <c r="F36" s="25" t="n">
        <f aca="false">(B36-B35)/B35</f>
        <v>-0.0228459092953885</v>
      </c>
      <c r="G36" s="25" t="n">
        <f aca="false">(C36-C35)/C35</f>
        <v>0.0090630930709943</v>
      </c>
      <c r="H36" s="25" t="n">
        <f aca="false">(D36-D35)/D35</f>
        <v>0.0003127770780915</v>
      </c>
      <c r="J36" s="24" t="n">
        <f aca="false">MAX($B$2:B36)</f>
        <v>32.915415</v>
      </c>
      <c r="K36" s="25" t="n">
        <f aca="false">(B36-J36)/J36</f>
        <v>-0.307479276806931</v>
      </c>
    </row>
    <row r="37" customFormat="false" ht="15" hidden="false" customHeight="false" outlineLevel="0" collapsed="false">
      <c r="A37" s="22" t="n">
        <v>44592</v>
      </c>
      <c r="B37" s="23" t="n">
        <v>24.270668</v>
      </c>
      <c r="C37" s="23" t="n">
        <v>423.215</v>
      </c>
      <c r="D37" s="23" t="n">
        <v>348.657621</v>
      </c>
      <c r="F37" s="25" t="n">
        <f aca="false">(B37-B36)/B36</f>
        <v>0.0647548343342792</v>
      </c>
      <c r="G37" s="25" t="n">
        <f aca="false">(C37-C36)/C36</f>
        <v>0.0152741526887498</v>
      </c>
      <c r="H37" s="25" t="n">
        <f aca="false">(D37-D36)/D36</f>
        <v>0.0176520729131291</v>
      </c>
      <c r="J37" s="24" t="n">
        <f aca="false">MAX($B$2:B37)</f>
        <v>32.915415</v>
      </c>
      <c r="K37" s="25" t="n">
        <f aca="false">(B37-J37)/J37</f>
        <v>-0.262635212103508</v>
      </c>
    </row>
    <row r="38" customFormat="false" ht="15" hidden="false" customHeight="false" outlineLevel="0" collapsed="false">
      <c r="A38" s="22" t="n">
        <v>44599</v>
      </c>
      <c r="B38" s="23" t="n">
        <v>23.901403</v>
      </c>
      <c r="C38" s="23" t="n">
        <v>415.443</v>
      </c>
      <c r="D38" s="23" t="n">
        <v>337.993671</v>
      </c>
      <c r="F38" s="25" t="n">
        <f aca="false">(B38-B37)/B37</f>
        <v>-0.0152144555724631</v>
      </c>
      <c r="G38" s="25" t="n">
        <f aca="false">(C38-C37)/C37</f>
        <v>-0.0183641884148719</v>
      </c>
      <c r="H38" s="25" t="n">
        <f aca="false">(D38-D37)/D37</f>
        <v>-0.0305857361425638</v>
      </c>
      <c r="J38" s="24" t="n">
        <f aca="false">MAX($B$2:B38)</f>
        <v>32.915415</v>
      </c>
      <c r="K38" s="25" t="n">
        <f aca="false">(B38-J38)/J38</f>
        <v>-0.273853815909658</v>
      </c>
    </row>
    <row r="39" customFormat="false" ht="15" hidden="false" customHeight="false" outlineLevel="0" collapsed="false">
      <c r="A39" s="22" t="n">
        <v>44606</v>
      </c>
      <c r="B39" s="23" t="n">
        <v>23.595013</v>
      </c>
      <c r="C39" s="23" t="n">
        <v>409.567</v>
      </c>
      <c r="D39" s="23" t="n">
        <v>332.588655</v>
      </c>
      <c r="F39" s="25" t="n">
        <f aca="false">(B39-B38)/B38</f>
        <v>-0.0128189127642422</v>
      </c>
      <c r="G39" s="25" t="n">
        <f aca="false">(C39-C38)/C38</f>
        <v>-0.0141439379168742</v>
      </c>
      <c r="H39" s="25" t="n">
        <f aca="false">(D39-D38)/D38</f>
        <v>-0.0159914710355626</v>
      </c>
      <c r="J39" s="24" t="n">
        <f aca="false">MAX($B$2:B39)</f>
        <v>32.915415</v>
      </c>
      <c r="K39" s="25" t="n">
        <f aca="false">(B39-J39)/J39</f>
        <v>-0.2831622204976</v>
      </c>
    </row>
    <row r="40" customFormat="false" ht="15" hidden="false" customHeight="false" outlineLevel="0" collapsed="false">
      <c r="A40" s="22" t="n">
        <v>44614</v>
      </c>
      <c r="B40" s="23" t="n">
        <v>24.10899</v>
      </c>
      <c r="C40" s="23" t="n">
        <v>412.887</v>
      </c>
      <c r="D40" s="23" t="n">
        <v>336.73737</v>
      </c>
      <c r="F40" s="25" t="n">
        <f aca="false">(B40-B39)/B39</f>
        <v>0.0217832895451254</v>
      </c>
      <c r="G40" s="25" t="n">
        <f aca="false">(C40-C39)/C39</f>
        <v>0.00810612183110454</v>
      </c>
      <c r="H40" s="25" t="n">
        <f aca="false">(D40-D39)/D39</f>
        <v>0.0124740123802479</v>
      </c>
      <c r="J40" s="24" t="n">
        <f aca="false">MAX($B$2:B40)</f>
        <v>32.915415</v>
      </c>
      <c r="K40" s="25" t="n">
        <f aca="false">(B40-J40)/J40</f>
        <v>-0.267547135589814</v>
      </c>
    </row>
    <row r="41" customFormat="false" ht="15" hidden="false" customHeight="false" outlineLevel="0" collapsed="false">
      <c r="A41" s="22" t="n">
        <v>44620</v>
      </c>
      <c r="B41" s="23" t="n">
        <v>22.894317</v>
      </c>
      <c r="C41" s="23" t="n">
        <v>407.624</v>
      </c>
      <c r="D41" s="23" t="n">
        <v>328.488634</v>
      </c>
      <c r="F41" s="25" t="n">
        <f aca="false">(B41-B40)/B40</f>
        <v>-0.0503825751306877</v>
      </c>
      <c r="G41" s="25" t="n">
        <f aca="false">(C41-C40)/C40</f>
        <v>-0.0127468290355472</v>
      </c>
      <c r="H41" s="25" t="n">
        <f aca="false">(D41-D40)/D40</f>
        <v>-0.0244960516262273</v>
      </c>
      <c r="J41" s="24" t="n">
        <f aca="false">MAX($B$2:B41)</f>
        <v>32.915415</v>
      </c>
      <c r="K41" s="25" t="n">
        <f aca="false">(B41-J41)/J41</f>
        <v>-0.304449997060648</v>
      </c>
    </row>
    <row r="42" customFormat="false" ht="15" hidden="false" customHeight="false" outlineLevel="0" collapsed="false">
      <c r="A42" s="22" t="n">
        <v>44627</v>
      </c>
      <c r="B42" s="23" t="n">
        <v>22.059837</v>
      </c>
      <c r="C42" s="23" t="n">
        <v>396.211</v>
      </c>
      <c r="D42" s="23" t="n">
        <v>315.925623</v>
      </c>
      <c r="F42" s="25" t="n">
        <f aca="false">(B42-B41)/B41</f>
        <v>-0.0364492201274229</v>
      </c>
      <c r="G42" s="25" t="n">
        <f aca="false">(C42-C41)/C41</f>
        <v>-0.0279988420701431</v>
      </c>
      <c r="H42" s="25" t="n">
        <f aca="false">(D42-D41)/D41</f>
        <v>-0.0382448879494565</v>
      </c>
      <c r="J42" s="24" t="n">
        <f aca="false">MAX($B$2:B42)</f>
        <v>32.915415</v>
      </c>
      <c r="K42" s="25" t="n">
        <f aca="false">(B42-J42)/J42</f>
        <v>-0.329802252227414</v>
      </c>
    </row>
    <row r="43" customFormat="false" ht="15" hidden="false" customHeight="false" outlineLevel="0" collapsed="false">
      <c r="A43" s="22" t="n">
        <v>44634</v>
      </c>
      <c r="B43" s="23" t="n">
        <v>26.404926</v>
      </c>
      <c r="C43" s="23" t="n">
        <v>420.561</v>
      </c>
      <c r="D43" s="23" t="n">
        <v>342.307945</v>
      </c>
      <c r="F43" s="25" t="n">
        <f aca="false">(B43-B42)/B42</f>
        <v>0.196968318487575</v>
      </c>
      <c r="G43" s="25" t="n">
        <f aca="false">(C43-C42)/C42</f>
        <v>0.061457152880662</v>
      </c>
      <c r="H43" s="25" t="n">
        <f aca="false">(D43-D42)/D42</f>
        <v>0.0835080160623757</v>
      </c>
      <c r="J43" s="24" t="n">
        <f aca="false">MAX($B$2:B43)</f>
        <v>32.915415</v>
      </c>
      <c r="K43" s="25" t="n">
        <f aca="false">(B43-J43)/J43</f>
        <v>-0.197794528794487</v>
      </c>
    </row>
    <row r="44" customFormat="false" ht="15" hidden="false" customHeight="false" outlineLevel="0" collapsed="false">
      <c r="A44" s="22" t="n">
        <v>44641</v>
      </c>
      <c r="B44" s="23" t="n">
        <v>27.641674</v>
      </c>
      <c r="C44" s="23" t="n">
        <v>428.29</v>
      </c>
      <c r="D44" s="23" t="n">
        <v>350.394955</v>
      </c>
      <c r="F44" s="25" t="n">
        <f aca="false">(B44-B43)/B43</f>
        <v>0.0468377756483771</v>
      </c>
      <c r="G44" s="25" t="n">
        <f aca="false">(C44-C43)/C43</f>
        <v>0.0183778334177445</v>
      </c>
      <c r="H44" s="25" t="n">
        <f aca="false">(D44-D43)/D43</f>
        <v>0.0236249555937125</v>
      </c>
      <c r="J44" s="24" t="n">
        <f aca="false">MAX($B$2:B44)</f>
        <v>32.915415</v>
      </c>
      <c r="K44" s="25" t="n">
        <f aca="false">(B44-J44)/J44</f>
        <v>-0.160221008910263</v>
      </c>
    </row>
    <row r="45" customFormat="false" ht="15" hidden="false" customHeight="false" outlineLevel="0" collapsed="false">
      <c r="A45" s="22" t="n">
        <v>44648</v>
      </c>
      <c r="B45" s="23" t="n">
        <v>26.663455</v>
      </c>
      <c r="C45" s="23" t="n">
        <v>428.508</v>
      </c>
      <c r="D45" s="23" t="n">
        <v>352.832655</v>
      </c>
      <c r="F45" s="25" t="n">
        <f aca="false">(B45-B44)/B44</f>
        <v>-0.0353892821397141</v>
      </c>
      <c r="G45" s="25" t="n">
        <f aca="false">(C45-C44)/C44</f>
        <v>0.000509000910597868</v>
      </c>
      <c r="H45" s="25" t="n">
        <f aca="false">(D45-D44)/D44</f>
        <v>0.00695700655849913</v>
      </c>
      <c r="J45" s="24" t="n">
        <f aca="false">MAX($B$2:B45)</f>
        <v>32.915415</v>
      </c>
      <c r="K45" s="25" t="n">
        <f aca="false">(B45-J45)/J45</f>
        <v>-0.189940184560942</v>
      </c>
    </row>
    <row r="46" customFormat="false" ht="15" hidden="false" customHeight="false" outlineLevel="0" collapsed="false">
      <c r="A46" s="22" t="n">
        <v>44655</v>
      </c>
      <c r="B46" s="23" t="n">
        <v>23.076985</v>
      </c>
      <c r="C46" s="23" t="n">
        <v>423.446</v>
      </c>
      <c r="D46" s="23" t="n">
        <v>340.44914</v>
      </c>
      <c r="F46" s="25" t="n">
        <f aca="false">(B46-B45)/B45</f>
        <v>-0.1345088249066</v>
      </c>
      <c r="G46" s="25" t="n">
        <f aca="false">(C46-C45)/C45</f>
        <v>-0.0118130816694203</v>
      </c>
      <c r="H46" s="25" t="n">
        <f aca="false">(D46-D45)/D45</f>
        <v>-0.0350974174995225</v>
      </c>
      <c r="J46" s="24" t="n">
        <f aca="false">MAX($B$2:B46)</f>
        <v>32.915415</v>
      </c>
      <c r="K46" s="25" t="n">
        <f aca="false">(B46-J46)/J46</f>
        <v>-0.298900378439707</v>
      </c>
    </row>
    <row r="47" customFormat="false" ht="15" hidden="false" customHeight="false" outlineLevel="0" collapsed="false">
      <c r="A47" s="22" t="n">
        <v>44662</v>
      </c>
      <c r="B47" s="23" t="n">
        <v>21.219367</v>
      </c>
      <c r="C47" s="23" t="n">
        <v>414.194</v>
      </c>
      <c r="D47" s="23" t="n">
        <v>329.996284</v>
      </c>
      <c r="F47" s="25" t="n">
        <f aca="false">(B47-B46)/B46</f>
        <v>-0.0804965640008867</v>
      </c>
      <c r="G47" s="25" t="n">
        <f aca="false">(C47-C46)/C46</f>
        <v>-0.0218493030988603</v>
      </c>
      <c r="H47" s="25" t="n">
        <f aca="false">(D47-D46)/D46</f>
        <v>-0.0307031352759475</v>
      </c>
      <c r="J47" s="24" t="n">
        <f aca="false">MAX($B$2:B47)</f>
        <v>32.915415</v>
      </c>
      <c r="K47" s="25" t="n">
        <f aca="false">(B47-J47)/J47</f>
        <v>-0.355336488997632</v>
      </c>
    </row>
    <row r="48" customFormat="false" ht="15" hidden="false" customHeight="false" outlineLevel="0" collapsed="false">
      <c r="A48" s="22" t="n">
        <v>44669</v>
      </c>
      <c r="B48" s="23" t="n">
        <v>19.479534</v>
      </c>
      <c r="C48" s="23" t="n">
        <v>403.077</v>
      </c>
      <c r="D48" s="23" t="n">
        <v>317.290993</v>
      </c>
      <c r="F48" s="25" t="n">
        <f aca="false">(B48-B47)/B47</f>
        <v>-0.0819926909224011</v>
      </c>
      <c r="G48" s="25" t="n">
        <f aca="false">(C48-C47)/C47</f>
        <v>-0.0268400797693835</v>
      </c>
      <c r="H48" s="25" t="n">
        <f aca="false">(D48-D47)/D47</f>
        <v>-0.0385013153663269</v>
      </c>
      <c r="J48" s="24" t="n">
        <f aca="false">MAX($B$2:B48)</f>
        <v>32.915415</v>
      </c>
      <c r="K48" s="25" t="n">
        <f aca="false">(B48-J48)/J48</f>
        <v>-0.408194185004199</v>
      </c>
    </row>
    <row r="49" customFormat="false" ht="15" hidden="false" customHeight="false" outlineLevel="0" collapsed="false">
      <c r="A49" s="22" t="n">
        <v>44676</v>
      </c>
      <c r="B49" s="23" t="n">
        <v>18.513294</v>
      </c>
      <c r="C49" s="23" t="n">
        <v>389.794</v>
      </c>
      <c r="D49" s="23" t="n">
        <v>305.443773</v>
      </c>
      <c r="F49" s="25" t="n">
        <f aca="false">(B49-B48)/B48</f>
        <v>-0.0496028293079292</v>
      </c>
      <c r="G49" s="25" t="n">
        <f aca="false">(C49-C48)/C48</f>
        <v>-0.0329540013446563</v>
      </c>
      <c r="H49" s="25" t="n">
        <f aca="false">(D49-D48)/D48</f>
        <v>-0.0373386583967733</v>
      </c>
      <c r="J49" s="24" t="n">
        <f aca="false">MAX($B$2:B49)</f>
        <v>32.915415</v>
      </c>
      <c r="K49" s="25" t="n">
        <f aca="false">(B49-J49)/J49</f>
        <v>-0.437549427828876</v>
      </c>
    </row>
    <row r="50" customFormat="false" ht="15" hidden="false" customHeight="false" outlineLevel="0" collapsed="false">
      <c r="A50" s="22" t="n">
        <v>44683</v>
      </c>
      <c r="B50" s="23" t="n">
        <v>18.641061</v>
      </c>
      <c r="C50" s="23" t="n">
        <v>389.169</v>
      </c>
      <c r="D50" s="23" t="n">
        <v>301.543453</v>
      </c>
      <c r="F50" s="25" t="n">
        <f aca="false">(B50-B49)/B49</f>
        <v>0.00690136504071086</v>
      </c>
      <c r="G50" s="25" t="n">
        <f aca="false">(C50-C49)/C49</f>
        <v>-0.00160341103249409</v>
      </c>
      <c r="H50" s="25" t="n">
        <f aca="false">(D50-D49)/D49</f>
        <v>-0.012769355098295</v>
      </c>
      <c r="J50" s="24" t="n">
        <f aca="false">MAX($B$2:B50)</f>
        <v>32.915415</v>
      </c>
      <c r="K50" s="25" t="n">
        <f aca="false">(B50-J50)/J50</f>
        <v>-0.433667751112966</v>
      </c>
    </row>
    <row r="51" customFormat="false" ht="15" hidden="false" customHeight="false" outlineLevel="0" collapsed="false">
      <c r="A51" s="22" t="n">
        <v>44690</v>
      </c>
      <c r="B51" s="23" t="n">
        <v>17.673822</v>
      </c>
      <c r="C51" s="23" t="n">
        <v>380.068</v>
      </c>
      <c r="D51" s="23" t="n">
        <v>294.415619</v>
      </c>
      <c r="F51" s="25" t="n">
        <f aca="false">(B51-B50)/B50</f>
        <v>-0.0518875508212756</v>
      </c>
      <c r="G51" s="25" t="n">
        <f aca="false">(C51-C50)/C50</f>
        <v>-0.0233857270234782</v>
      </c>
      <c r="H51" s="25" t="n">
        <f aca="false">(D51-D50)/D50</f>
        <v>-0.0236378337154613</v>
      </c>
      <c r="J51" s="24" t="n">
        <f aca="false">MAX($B$2:B51)</f>
        <v>32.915415</v>
      </c>
      <c r="K51" s="25" t="n">
        <f aca="false">(B51-J51)/J51</f>
        <v>-0.46305334445882</v>
      </c>
    </row>
    <row r="52" customFormat="false" ht="15" hidden="false" customHeight="false" outlineLevel="0" collapsed="false">
      <c r="A52" s="22" t="n">
        <v>44697</v>
      </c>
      <c r="B52" s="23" t="n">
        <v>16.663661</v>
      </c>
      <c r="C52" s="23" t="n">
        <v>368.629</v>
      </c>
      <c r="D52" s="23" t="n">
        <v>281.48606</v>
      </c>
      <c r="F52" s="25" t="n">
        <f aca="false">(B52-B51)/B51</f>
        <v>-0.0571557753608699</v>
      </c>
      <c r="G52" s="25" t="n">
        <f aca="false">(C52-C51)/C51</f>
        <v>-0.0300972457560225</v>
      </c>
      <c r="H52" s="25" t="n">
        <f aca="false">(D52-D51)/D51</f>
        <v>-0.0439160090891781</v>
      </c>
      <c r="J52" s="24" t="n">
        <f aca="false">MAX($B$2:B52)</f>
        <v>32.915415</v>
      </c>
      <c r="K52" s="25" t="n">
        <f aca="false">(B52-J52)/J52</f>
        <v>-0.493742946883702</v>
      </c>
    </row>
    <row r="53" customFormat="false" ht="15" hidden="false" customHeight="false" outlineLevel="0" collapsed="false">
      <c r="A53" s="22" t="n">
        <v>44704</v>
      </c>
      <c r="B53" s="23" t="n">
        <v>18.776814</v>
      </c>
      <c r="C53" s="23" t="n">
        <v>392.878</v>
      </c>
      <c r="D53" s="23" t="n">
        <v>301.397191</v>
      </c>
      <c r="F53" s="25" t="n">
        <f aca="false">(B53-B52)/B52</f>
        <v>0.126812049284968</v>
      </c>
      <c r="G53" s="25" t="n">
        <f aca="false">(C53-C52)/C52</f>
        <v>0.0657815852795086</v>
      </c>
      <c r="H53" s="25" t="n">
        <f aca="false">(D53-D52)/D52</f>
        <v>0.0707357621901419</v>
      </c>
      <c r="J53" s="24" t="n">
        <f aca="false">MAX($B$2:B53)</f>
        <v>32.915415</v>
      </c>
      <c r="K53" s="25" t="n">
        <f aca="false">(B53-J53)/J53</f>
        <v>-0.429543452513055</v>
      </c>
    </row>
    <row r="54" customFormat="false" ht="15" hidden="false" customHeight="false" outlineLevel="0" collapsed="false">
      <c r="A54" s="22" t="n">
        <v>44712</v>
      </c>
      <c r="B54" s="23" t="n">
        <v>18.685979</v>
      </c>
      <c r="C54" s="23" t="n">
        <v>388.412</v>
      </c>
      <c r="D54" s="23" t="n">
        <v>298.569459</v>
      </c>
      <c r="F54" s="25" t="n">
        <f aca="false">(B54-B53)/B53</f>
        <v>-0.00483761515665022</v>
      </c>
      <c r="G54" s="25" t="n">
        <f aca="false">(C54-C53)/C53</f>
        <v>-0.0113673964945861</v>
      </c>
      <c r="H54" s="25" t="n">
        <f aca="false">(D54-D53)/D53</f>
        <v>-0.00938207814949419</v>
      </c>
      <c r="J54" s="24" t="n">
        <f aca="false">MAX($B$2:B54)</f>
        <v>32.915415</v>
      </c>
      <c r="K54" s="25" t="n">
        <f aca="false">(B54-J54)/J54</f>
        <v>-0.432303101753388</v>
      </c>
    </row>
    <row r="55" customFormat="false" ht="15" hidden="false" customHeight="false" outlineLevel="0" collapsed="false">
      <c r="A55" s="22" t="n">
        <v>44718</v>
      </c>
      <c r="B55" s="23" t="n">
        <v>16.946734</v>
      </c>
      <c r="C55" s="23" t="n">
        <v>368.79</v>
      </c>
      <c r="D55" s="23" t="n">
        <v>281.642073</v>
      </c>
      <c r="F55" s="25" t="n">
        <f aca="false">(B55-B54)/B54</f>
        <v>-0.0930775422577538</v>
      </c>
      <c r="G55" s="25" t="n">
        <f aca="false">(C55-C54)/C54</f>
        <v>-0.0505185215698793</v>
      </c>
      <c r="H55" s="25" t="n">
        <f aca="false">(D55-D54)/D54</f>
        <v>-0.0566949682552763</v>
      </c>
      <c r="J55" s="24" t="n">
        <f aca="false">MAX($B$2:B55)</f>
        <v>32.915415</v>
      </c>
      <c r="K55" s="25" t="n">
        <f aca="false">(B55-J55)/J55</f>
        <v>-0.485142933789533</v>
      </c>
    </row>
    <row r="56" customFormat="false" ht="15" hidden="false" customHeight="false" outlineLevel="0" collapsed="false">
      <c r="A56" s="22" t="n">
        <v>44725</v>
      </c>
      <c r="B56" s="23" t="n">
        <v>15.854491</v>
      </c>
      <c r="C56" s="23" t="n">
        <v>347.632</v>
      </c>
      <c r="D56" s="23" t="n">
        <v>267.844692</v>
      </c>
      <c r="F56" s="25" t="n">
        <f aca="false">(B56-B55)/B55</f>
        <v>-0.0644515338471708</v>
      </c>
      <c r="G56" s="25" t="n">
        <f aca="false">(C56-C55)/C55</f>
        <v>-0.057371403779929</v>
      </c>
      <c r="H56" s="25" t="n">
        <f aca="false">(D56-D55)/D55</f>
        <v>-0.0489890620851948</v>
      </c>
      <c r="J56" s="24" t="n">
        <f aca="false">MAX($B$2:B56)</f>
        <v>32.915415</v>
      </c>
      <c r="K56" s="25" t="n">
        <f aca="false">(B56-J56)/J56</f>
        <v>-0.518326261418852</v>
      </c>
    </row>
    <row r="57" customFormat="false" ht="15" hidden="false" customHeight="false" outlineLevel="0" collapsed="false">
      <c r="A57" s="22" t="n">
        <v>44733</v>
      </c>
      <c r="B57" s="23" t="n">
        <v>17.09849</v>
      </c>
      <c r="C57" s="23" t="n">
        <v>370.646</v>
      </c>
      <c r="D57" s="23" t="n">
        <v>287.820895</v>
      </c>
      <c r="F57" s="25" t="n">
        <f aca="false">(B57-B56)/B56</f>
        <v>0.0784635091722593</v>
      </c>
      <c r="G57" s="25" t="n">
        <f aca="false">(C57-C56)/C56</f>
        <v>0.066202190822479</v>
      </c>
      <c r="H57" s="25" t="n">
        <f aca="false">(D57-D56)/D56</f>
        <v>0.0745812913104136</v>
      </c>
      <c r="J57" s="24" t="n">
        <f aca="false">MAX($B$2:B57)</f>
        <v>32.915415</v>
      </c>
      <c r="K57" s="25" t="n">
        <f aca="false">(B57-J57)/J57</f>
        <v>-0.480532449613654</v>
      </c>
    </row>
    <row r="58" customFormat="false" ht="15" hidden="false" customHeight="false" outlineLevel="0" collapsed="false">
      <c r="A58" s="22" t="n">
        <v>44739</v>
      </c>
      <c r="B58" s="23" t="n">
        <v>14.499671</v>
      </c>
      <c r="C58" s="23" t="n">
        <v>362.246</v>
      </c>
      <c r="D58" s="23" t="n">
        <v>275.628489</v>
      </c>
      <c r="F58" s="25" t="n">
        <f aca="false">(B58-B57)/B57</f>
        <v>-0.151991140738159</v>
      </c>
      <c r="G58" s="25" t="n">
        <f aca="false">(C58-C57)/C57</f>
        <v>-0.0226631340956061</v>
      </c>
      <c r="H58" s="25" t="n">
        <f aca="false">(D58-D57)/D57</f>
        <v>-0.0423610870920265</v>
      </c>
      <c r="J58" s="24" t="n">
        <f aca="false">MAX($B$2:B58)</f>
        <v>32.915415</v>
      </c>
      <c r="K58" s="25" t="n">
        <f aca="false">(B58-J58)/J58</f>
        <v>-0.559486915173332</v>
      </c>
    </row>
    <row r="59" customFormat="false" ht="15" hidden="false" customHeight="false" outlineLevel="0" collapsed="false">
      <c r="A59" s="22" t="n">
        <v>44747</v>
      </c>
      <c r="B59" s="23" t="n">
        <v>15.812559</v>
      </c>
      <c r="C59" s="23" t="n">
        <v>369.306</v>
      </c>
      <c r="D59" s="23" t="n">
        <v>288.543842</v>
      </c>
      <c r="F59" s="25" t="n">
        <f aca="false">(B59-B58)/B58</f>
        <v>0.090546054458753</v>
      </c>
      <c r="G59" s="25" t="n">
        <f aca="false">(C59-C58)/C58</f>
        <v>0.0194895181727335</v>
      </c>
      <c r="H59" s="25" t="n">
        <f aca="false">(D59-D58)/D58</f>
        <v>0.0468578304327605</v>
      </c>
      <c r="J59" s="24" t="n">
        <f aca="false">MAX($B$2:B59)</f>
        <v>32.915415</v>
      </c>
      <c r="K59" s="25" t="n">
        <f aca="false">(B59-J59)/J59</f>
        <v>-0.519600193404823</v>
      </c>
    </row>
    <row r="60" customFormat="false" ht="15" hidden="false" customHeight="false" outlineLevel="0" collapsed="false">
      <c r="A60" s="22" t="n">
        <v>44753</v>
      </c>
      <c r="B60" s="23" t="n">
        <v>15.736681</v>
      </c>
      <c r="C60" s="23" t="n">
        <v>365.942</v>
      </c>
      <c r="D60" s="23" t="n">
        <v>285.144036</v>
      </c>
      <c r="F60" s="25" t="n">
        <f aca="false">(B60-B59)/B59</f>
        <v>-0.00479859079102879</v>
      </c>
      <c r="G60" s="25" t="n">
        <f aca="false">(C60-C59)/C59</f>
        <v>-0.00910897737919226</v>
      </c>
      <c r="H60" s="25" t="n">
        <f aca="false">(D60-D59)/D59</f>
        <v>-0.0117826323252463</v>
      </c>
      <c r="J60" s="24" t="n">
        <f aca="false">MAX($B$2:B60)</f>
        <v>32.915415</v>
      </c>
      <c r="K60" s="25" t="n">
        <f aca="false">(B60-J60)/J60</f>
        <v>-0.521905435492762</v>
      </c>
    </row>
    <row r="61" customFormat="false" ht="15" hidden="false" customHeight="false" outlineLevel="0" collapsed="false">
      <c r="A61" s="22" t="n">
        <v>44760</v>
      </c>
      <c r="B61" s="23" t="n">
        <v>17.29118</v>
      </c>
      <c r="C61" s="23" t="n">
        <v>375.406</v>
      </c>
      <c r="D61" s="23" t="n">
        <v>295.030827</v>
      </c>
      <c r="F61" s="25" t="n">
        <f aca="false">(B61-B60)/B60</f>
        <v>0.0987818841851087</v>
      </c>
      <c r="G61" s="25" t="n">
        <f aca="false">(C61-C60)/C60</f>
        <v>0.0258620218504572</v>
      </c>
      <c r="H61" s="25" t="n">
        <f aca="false">(D61-D60)/D60</f>
        <v>0.0346729713820841</v>
      </c>
      <c r="J61" s="24" t="n">
        <f aca="false">MAX($B$2:B61)</f>
        <v>32.915415</v>
      </c>
      <c r="K61" s="25" t="n">
        <f aca="false">(B61-J61)/J61</f>
        <v>-0.474678353592078</v>
      </c>
    </row>
    <row r="62" customFormat="false" ht="15" hidden="false" customHeight="false" outlineLevel="0" collapsed="false">
      <c r="A62" s="22" t="n">
        <v>44767</v>
      </c>
      <c r="B62" s="23" t="n">
        <v>18.133824</v>
      </c>
      <c r="C62" s="23" t="n">
        <v>391.464</v>
      </c>
      <c r="D62" s="23" t="n">
        <v>308.190419</v>
      </c>
      <c r="F62" s="25" t="n">
        <f aca="false">(B62-B61)/B61</f>
        <v>0.0487325908353276</v>
      </c>
      <c r="G62" s="25" t="n">
        <f aca="false">(C62-C61)/C61</f>
        <v>0.0427750222425853</v>
      </c>
      <c r="H62" s="25" t="n">
        <f aca="false">(D62-D61)/D61</f>
        <v>0.0446041253851755</v>
      </c>
      <c r="J62" s="24" t="n">
        <f aca="false">MAX($B$2:B62)</f>
        <v>32.915415</v>
      </c>
      <c r="K62" s="25" t="n">
        <f aca="false">(B62-J62)/J62</f>
        <v>-0.449078068740741</v>
      </c>
    </row>
    <row r="63" customFormat="false" ht="15" hidden="false" customHeight="false" outlineLevel="0" collapsed="false">
      <c r="A63" s="22" t="n">
        <v>44774</v>
      </c>
      <c r="B63" s="23" t="n">
        <v>18.958497</v>
      </c>
      <c r="C63" s="23" t="n">
        <v>392.87</v>
      </c>
      <c r="D63" s="23" t="n">
        <v>314.33547</v>
      </c>
      <c r="F63" s="25" t="n">
        <f aca="false">(B63-B62)/B62</f>
        <v>0.0454770598854384</v>
      </c>
      <c r="G63" s="25" t="n">
        <f aca="false">(C63-C62)/C62</f>
        <v>0.00359164571965751</v>
      </c>
      <c r="H63" s="25" t="n">
        <f aca="false">(D63-D62)/D62</f>
        <v>0.0199391370437118</v>
      </c>
      <c r="J63" s="24" t="n">
        <f aca="false">MAX($B$2:B63)</f>
        <v>32.915415</v>
      </c>
      <c r="K63" s="25" t="n">
        <f aca="false">(B63-J63)/J63</f>
        <v>-0.424023759080662</v>
      </c>
    </row>
    <row r="64" customFormat="false" ht="15" hidden="false" customHeight="false" outlineLevel="0" collapsed="false">
      <c r="A64" s="22" t="n">
        <v>44781</v>
      </c>
      <c r="B64" s="23" t="n">
        <v>18.678947</v>
      </c>
      <c r="C64" s="23" t="n">
        <v>405.821</v>
      </c>
      <c r="D64" s="23" t="n">
        <v>322.776367</v>
      </c>
      <c r="F64" s="25" t="n">
        <f aca="false">(B64-B63)/B63</f>
        <v>-0.0147453672092255</v>
      </c>
      <c r="G64" s="25" t="n">
        <f aca="false">(C64-C63)/C63</f>
        <v>0.0329651029602668</v>
      </c>
      <c r="H64" s="25" t="n">
        <f aca="false">(D64-D63)/D63</f>
        <v>0.0268531483258953</v>
      </c>
      <c r="J64" s="24" t="n">
        <f aca="false">MAX($B$2:B64)</f>
        <v>32.915415</v>
      </c>
      <c r="K64" s="25" t="n">
        <f aca="false">(B64-J64)/J64</f>
        <v>-0.432516740256807</v>
      </c>
    </row>
    <row r="65" customFormat="false" ht="15" hidden="false" customHeight="false" outlineLevel="0" collapsed="false">
      <c r="A65" s="22" t="n">
        <v>44788</v>
      </c>
      <c r="B65" s="23" t="n">
        <v>17.820328</v>
      </c>
      <c r="C65" s="23" t="n">
        <v>401.108</v>
      </c>
      <c r="D65" s="23" t="n">
        <v>315.419891</v>
      </c>
      <c r="F65" s="25" t="n">
        <f aca="false">(B65-B64)/B64</f>
        <v>-0.0459672057530867</v>
      </c>
      <c r="G65" s="25" t="n">
        <f aca="false">(C65-C64)/C64</f>
        <v>-0.0116134946195491</v>
      </c>
      <c r="H65" s="25" t="n">
        <f aca="false">(D65-D64)/D64</f>
        <v>-0.0227912472910385</v>
      </c>
      <c r="J65" s="24" t="n">
        <f aca="false">MAX($B$2:B65)</f>
        <v>32.915415</v>
      </c>
      <c r="K65" s="25" t="n">
        <f aca="false">(B65-J65)/J65</f>
        <v>-0.458602360018854</v>
      </c>
    </row>
    <row r="66" customFormat="false" ht="15" hidden="false" customHeight="false" outlineLevel="0" collapsed="false">
      <c r="A66" s="22" t="n">
        <v>44795</v>
      </c>
      <c r="B66" s="23" t="n">
        <v>16.233881</v>
      </c>
      <c r="C66" s="23" t="n">
        <v>385.117</v>
      </c>
      <c r="D66" s="23" t="n">
        <v>300.355235</v>
      </c>
      <c r="F66" s="25" t="n">
        <f aca="false">(B66-B65)/B65</f>
        <v>-0.0890245678979646</v>
      </c>
      <c r="G66" s="25" t="n">
        <f aca="false">(C66-C65)/C65</f>
        <v>-0.0398670682210277</v>
      </c>
      <c r="H66" s="25" t="n">
        <f aca="false">(D66-D65)/D65</f>
        <v>-0.0477606404346897</v>
      </c>
      <c r="J66" s="24" t="n">
        <f aca="false">MAX($B$2:B66)</f>
        <v>32.915415</v>
      </c>
      <c r="K66" s="25" t="n">
        <f aca="false">(B66-J66)/J66</f>
        <v>-0.506800050979154</v>
      </c>
    </row>
    <row r="67" customFormat="false" ht="15" hidden="false" customHeight="false" outlineLevel="0" collapsed="false">
      <c r="A67" s="22" t="n">
        <v>44802</v>
      </c>
      <c r="B67" s="23" t="n">
        <v>13.625078</v>
      </c>
      <c r="C67" s="23" t="n">
        <v>372.698</v>
      </c>
      <c r="D67" s="23" t="n">
        <v>288.36799</v>
      </c>
      <c r="F67" s="25" t="n">
        <f aca="false">(B67-B66)/B66</f>
        <v>-0.160701128707301</v>
      </c>
      <c r="G67" s="25" t="n">
        <f aca="false">(C67-C66)/C66</f>
        <v>-0.0322473430152396</v>
      </c>
      <c r="H67" s="25" t="n">
        <f aca="false">(D67-D66)/D66</f>
        <v>-0.0399102249707749</v>
      </c>
      <c r="J67" s="24" t="n">
        <f aca="false">MAX($B$2:B67)</f>
        <v>32.915415</v>
      </c>
      <c r="K67" s="25" t="n">
        <f aca="false">(B67-J67)/J67</f>
        <v>-0.586057839465187</v>
      </c>
    </row>
    <row r="68" customFormat="false" ht="15" hidden="false" customHeight="false" outlineLevel="0" collapsed="false">
      <c r="A68" s="22" t="n">
        <v>44810</v>
      </c>
      <c r="B68" s="23" t="n">
        <v>14.368158</v>
      </c>
      <c r="C68" s="23" t="n">
        <v>386.343</v>
      </c>
      <c r="D68" s="23" t="n">
        <v>300.013301</v>
      </c>
      <c r="F68" s="25" t="n">
        <f aca="false">(B68-B67)/B67</f>
        <v>0.0545376694357272</v>
      </c>
      <c r="G68" s="25" t="n">
        <f aca="false">(C68-C67)/C67</f>
        <v>0.0366114119206436</v>
      </c>
      <c r="H68" s="25" t="n">
        <f aca="false">(D68-D67)/D67</f>
        <v>0.0403835078921207</v>
      </c>
      <c r="J68" s="24" t="n">
        <f aca="false">MAX($B$2:B68)</f>
        <v>32.915415</v>
      </c>
      <c r="K68" s="25" t="n">
        <f aca="false">(B68-J68)/J68</f>
        <v>-0.563482398748428</v>
      </c>
    </row>
    <row r="69" customFormat="false" ht="15" hidden="false" customHeight="false" outlineLevel="0" collapsed="false">
      <c r="A69" s="22" t="n">
        <v>44816</v>
      </c>
      <c r="B69" s="23" t="n">
        <v>13.180715</v>
      </c>
      <c r="C69" s="23" t="n">
        <v>367.868</v>
      </c>
      <c r="D69" s="23" t="n">
        <v>282.6528</v>
      </c>
      <c r="F69" s="25" t="n">
        <f aca="false">(B69-B68)/B68</f>
        <v>-0.082644066135687</v>
      </c>
      <c r="G69" s="25" t="n">
        <f aca="false">(C69-C68)/C68</f>
        <v>-0.0478202012201593</v>
      </c>
      <c r="H69" s="25" t="n">
        <f aca="false">(D69-D68)/D68</f>
        <v>-0.0578657710912624</v>
      </c>
      <c r="J69" s="24" t="n">
        <f aca="false">MAX($B$2:B69)</f>
        <v>32.915415</v>
      </c>
      <c r="K69" s="25" t="n">
        <f aca="false">(B69-J69)/J69</f>
        <v>-0.599557988255655</v>
      </c>
    </row>
    <row r="70" customFormat="false" ht="15" hidden="false" customHeight="false" outlineLevel="0" collapsed="false">
      <c r="A70" s="22" t="n">
        <v>44823</v>
      </c>
      <c r="B70" s="23" t="n">
        <v>12.499608</v>
      </c>
      <c r="C70" s="23" t="n">
        <v>351.066</v>
      </c>
      <c r="D70" s="23" t="n">
        <v>269.644337</v>
      </c>
      <c r="F70" s="25" t="n">
        <f aca="false">(B70-B69)/B69</f>
        <v>-0.051674510828889</v>
      </c>
      <c r="G70" s="25" t="n">
        <f aca="false">(C70-C69)/C69</f>
        <v>-0.0456739917579132</v>
      </c>
      <c r="H70" s="25" t="n">
        <f aca="false">(D70-D69)/D69</f>
        <v>-0.0460227636167057</v>
      </c>
      <c r="J70" s="24" t="n">
        <f aca="false">MAX($B$2:B70)</f>
        <v>32.915415</v>
      </c>
      <c r="K70" s="25" t="n">
        <f aca="false">(B70-J70)/J70</f>
        <v>-0.62025063332788</v>
      </c>
    </row>
    <row r="71" customFormat="false" ht="15" hidden="false" customHeight="false" outlineLevel="0" collapsed="false">
      <c r="A71" s="22" t="n">
        <v>44830</v>
      </c>
      <c r="B71" s="23" t="n">
        <v>12.123102</v>
      </c>
      <c r="C71" s="23" t="n">
        <v>340.79</v>
      </c>
      <c r="D71" s="23" t="n">
        <v>261.569981</v>
      </c>
      <c r="F71" s="25" t="n">
        <f aca="false">(B71-B70)/B70</f>
        <v>-0.0301214246078758</v>
      </c>
      <c r="G71" s="25" t="n">
        <f aca="false">(C71-C70)/C70</f>
        <v>-0.0292708493559614</v>
      </c>
      <c r="H71" s="25" t="n">
        <f aca="false">(D71-D70)/D70</f>
        <v>-0.0299444671815972</v>
      </c>
      <c r="J71" s="24" t="n">
        <f aca="false">MAX($B$2:B71)</f>
        <v>32.915415</v>
      </c>
      <c r="K71" s="25" t="n">
        <f aca="false">(B71-J71)/J71</f>
        <v>-0.631689225245983</v>
      </c>
    </row>
    <row r="72" customFormat="false" ht="15" hidden="false" customHeight="false" outlineLevel="0" collapsed="false">
      <c r="A72" s="22" t="n">
        <v>44837</v>
      </c>
      <c r="B72" s="23" t="n">
        <v>12.060185</v>
      </c>
      <c r="C72" s="23" t="n">
        <v>346.143</v>
      </c>
      <c r="D72" s="23" t="n">
        <v>263.370807</v>
      </c>
      <c r="F72" s="25" t="n">
        <f aca="false">(B72-B71)/B71</f>
        <v>-0.00518984332557779</v>
      </c>
      <c r="G72" s="25" t="n">
        <f aca="false">(C72-C71)/C71</f>
        <v>0.0157076205287712</v>
      </c>
      <c r="H72" s="25" t="n">
        <f aca="false">(D72-D71)/D71</f>
        <v>0.00688468146503413</v>
      </c>
      <c r="J72" s="24" t="n">
        <f aca="false">MAX($B$2:B72)</f>
        <v>32.915415</v>
      </c>
      <c r="K72" s="25" t="n">
        <f aca="false">(B72-J72)/J72</f>
        <v>-0.633600700462078</v>
      </c>
    </row>
    <row r="73" customFormat="false" ht="15" hidden="false" customHeight="false" outlineLevel="0" collapsed="false">
      <c r="A73" s="22" t="n">
        <v>44844</v>
      </c>
      <c r="B73" s="23" t="n">
        <v>11.212296</v>
      </c>
      <c r="C73" s="23" t="n">
        <v>341.219</v>
      </c>
      <c r="D73" s="23" t="n">
        <v>255.188793</v>
      </c>
      <c r="F73" s="25" t="n">
        <f aca="false">(B73-B72)/B72</f>
        <v>-0.0703048087570796</v>
      </c>
      <c r="G73" s="25" t="n">
        <f aca="false">(C73-C72)/C72</f>
        <v>-0.0142253346160401</v>
      </c>
      <c r="H73" s="25" t="n">
        <f aca="false">(D73-D72)/D72</f>
        <v>-0.0310665183176509</v>
      </c>
      <c r="J73" s="24" t="n">
        <f aca="false">MAX($B$2:B73)</f>
        <v>32.915415</v>
      </c>
      <c r="K73" s="25" t="n">
        <f aca="false">(B73-J73)/J73</f>
        <v>-0.65936033314482</v>
      </c>
    </row>
    <row r="74" customFormat="false" ht="15" hidden="false" customHeight="false" outlineLevel="0" collapsed="false">
      <c r="A74" s="22" t="n">
        <v>44851</v>
      </c>
      <c r="B74" s="23" t="n">
        <v>12.449674</v>
      </c>
      <c r="C74" s="23" t="n">
        <v>357.115</v>
      </c>
      <c r="D74" s="23" t="n">
        <v>269.556253</v>
      </c>
      <c r="F74" s="25" t="n">
        <f aca="false">(B74-B73)/B73</f>
        <v>0.110359020132897</v>
      </c>
      <c r="G74" s="25" t="n">
        <f aca="false">(C74-C73)/C73</f>
        <v>0.0465859169624201</v>
      </c>
      <c r="H74" s="25" t="n">
        <f aca="false">(D74-D73)/D73</f>
        <v>0.0563012968990375</v>
      </c>
      <c r="J74" s="24" t="n">
        <f aca="false">MAX($B$2:B74)</f>
        <v>32.915415</v>
      </c>
      <c r="K74" s="25" t="n">
        <f aca="false">(B74-J74)/J74</f>
        <v>-0.621767673292286</v>
      </c>
    </row>
    <row r="75" customFormat="false" ht="15" hidden="false" customHeight="false" outlineLevel="0" collapsed="false">
      <c r="A75" s="22" t="n">
        <v>44858</v>
      </c>
      <c r="B75" s="23" t="n">
        <v>13.815882</v>
      </c>
      <c r="C75" s="23" t="n">
        <v>371.169</v>
      </c>
      <c r="D75" s="23" t="n">
        <v>275.23277</v>
      </c>
      <c r="F75" s="25" t="n">
        <f aca="false">(B75-B74)/B74</f>
        <v>0.109738455802136</v>
      </c>
      <c r="G75" s="25" t="n">
        <f aca="false">(C75-C74)/C74</f>
        <v>0.0393542696330313</v>
      </c>
      <c r="H75" s="25" t="n">
        <f aca="false">(D75-D74)/D74</f>
        <v>0.0210587472441234</v>
      </c>
      <c r="J75" s="24" t="n">
        <f aca="false">MAX($B$2:B75)</f>
        <v>32.915415</v>
      </c>
      <c r="K75" s="25" t="n">
        <f aca="false">(B75-J75)/J75</f>
        <v>-0.580261041824932</v>
      </c>
    </row>
    <row r="76" customFormat="false" ht="15" hidden="false" customHeight="false" outlineLevel="0" collapsed="false">
      <c r="A76" s="22" t="n">
        <v>44865</v>
      </c>
      <c r="B76" s="23" t="n">
        <v>14.13746</v>
      </c>
      <c r="C76" s="23" t="n">
        <v>359.08</v>
      </c>
      <c r="D76" s="23" t="n">
        <v>259.04491</v>
      </c>
      <c r="F76" s="25" t="n">
        <f aca="false">(B76-B75)/B75</f>
        <v>0.0232759660222924</v>
      </c>
      <c r="G76" s="25" t="n">
        <f aca="false">(C76-C75)/C75</f>
        <v>-0.0325700691598706</v>
      </c>
      <c r="H76" s="25" t="n">
        <f aca="false">(D76-D75)/D75</f>
        <v>-0.0588151621625579</v>
      </c>
      <c r="J76" s="24" t="n">
        <f aca="false">MAX($B$2:B76)</f>
        <v>32.915415</v>
      </c>
      <c r="K76" s="25" t="n">
        <f aca="false">(B76-J76)/J76</f>
        <v>-0.570491212096217</v>
      </c>
    </row>
    <row r="77" customFormat="false" ht="15" hidden="false" customHeight="false" outlineLevel="0" collapsed="false">
      <c r="A77" s="22" t="n">
        <v>44872</v>
      </c>
      <c r="B77" s="23" t="n">
        <v>16.305617</v>
      </c>
      <c r="C77" s="23" t="n">
        <v>380.224</v>
      </c>
      <c r="D77" s="23" t="n">
        <v>281.829274</v>
      </c>
      <c r="F77" s="25" t="n">
        <f aca="false">(B77-B76)/B76</f>
        <v>0.153362555932961</v>
      </c>
      <c r="G77" s="25" t="n">
        <f aca="false">(C77-C76)/C76</f>
        <v>0.0588838141918236</v>
      </c>
      <c r="H77" s="25" t="n">
        <f aca="false">(D77-D76)/D76</f>
        <v>0.0879552661351268</v>
      </c>
      <c r="J77" s="24" t="n">
        <f aca="false">MAX($B$2:B77)</f>
        <v>32.915415</v>
      </c>
      <c r="K77" s="25" t="n">
        <f aca="false">(B77-J77)/J77</f>
        <v>-0.504620646587625</v>
      </c>
    </row>
    <row r="78" customFormat="false" ht="15" hidden="false" customHeight="false" outlineLevel="0" collapsed="false">
      <c r="A78" s="22" t="n">
        <v>44879</v>
      </c>
      <c r="B78" s="23" t="n">
        <v>15.388819</v>
      </c>
      <c r="C78" s="23" t="n">
        <v>377.857</v>
      </c>
      <c r="D78" s="23" t="n">
        <v>278.756125</v>
      </c>
      <c r="F78" s="25" t="n">
        <f aca="false">(B78-B77)/B77</f>
        <v>-0.0562259005592982</v>
      </c>
      <c r="G78" s="25" t="n">
        <f aca="false">(C78-C77)/C77</f>
        <v>-0.00622527773102161</v>
      </c>
      <c r="H78" s="25" t="n">
        <f aca="false">(D78-D77)/D77</f>
        <v>-0.0109042930721242</v>
      </c>
      <c r="J78" s="24" t="n">
        <f aca="false">MAX($B$2:B78)</f>
        <v>32.915415</v>
      </c>
      <c r="K78" s="25" t="n">
        <f aca="false">(B78-J78)/J78</f>
        <v>-0.532473796851718</v>
      </c>
    </row>
    <row r="79" customFormat="false" ht="15" hidden="false" customHeight="false" outlineLevel="0" collapsed="false">
      <c r="A79" s="22" t="n">
        <v>44886</v>
      </c>
      <c r="B79" s="23" t="n">
        <v>16.248692</v>
      </c>
      <c r="C79" s="23" t="n">
        <v>383.868</v>
      </c>
      <c r="D79" s="23" t="n">
        <v>280.811416</v>
      </c>
      <c r="F79" s="25" t="n">
        <f aca="false">(B79-B78)/B78</f>
        <v>0.0558764775906454</v>
      </c>
      <c r="G79" s="25" t="n">
        <f aca="false">(C79-C78)/C78</f>
        <v>0.015908134558841</v>
      </c>
      <c r="H79" s="25" t="n">
        <f aca="false">(D79-D78)/D78</f>
        <v>0.00737307924624082</v>
      </c>
      <c r="J79" s="24" t="n">
        <f aca="false">MAX($B$2:B79)</f>
        <v>32.915415</v>
      </c>
      <c r="K79" s="25" t="n">
        <f aca="false">(B79-J79)/J79</f>
        <v>-0.506350079438464</v>
      </c>
    </row>
    <row r="80" customFormat="false" ht="15" hidden="false" customHeight="false" outlineLevel="0" collapsed="false">
      <c r="A80" s="22" t="n">
        <v>44893</v>
      </c>
      <c r="B80" s="23" t="n">
        <v>16.85821</v>
      </c>
      <c r="C80" s="23" t="n">
        <v>388.238</v>
      </c>
      <c r="D80" s="23" t="n">
        <v>286.321552</v>
      </c>
      <c r="F80" s="25" t="n">
        <f aca="false">(B80-B79)/B79</f>
        <v>0.0375118194129104</v>
      </c>
      <c r="G80" s="25" t="n">
        <f aca="false">(C80-C79)/C79</f>
        <v>0.011384121625142</v>
      </c>
      <c r="H80" s="25" t="n">
        <f aca="false">(D80-D79)/D79</f>
        <v>0.0196221937073954</v>
      </c>
      <c r="J80" s="24" t="n">
        <f aca="false">MAX($B$2:B80)</f>
        <v>32.915415</v>
      </c>
      <c r="K80" s="25" t="n">
        <f aca="false">(B80-J80)/J80</f>
        <v>-0.487832372765162</v>
      </c>
    </row>
    <row r="81" customFormat="false" ht="15" hidden="false" customHeight="false" outlineLevel="0" collapsed="false">
      <c r="A81" s="22" t="n">
        <v>44900</v>
      </c>
      <c r="B81" s="23" t="n">
        <v>16.983078</v>
      </c>
      <c r="C81" s="23" t="n">
        <v>375.234</v>
      </c>
      <c r="D81" s="23" t="n">
        <v>276.035312</v>
      </c>
      <c r="F81" s="25" t="n">
        <f aca="false">(B81-B80)/B80</f>
        <v>0.00740695483091024</v>
      </c>
      <c r="G81" s="25" t="n">
        <f aca="false">(C81-C80)/C80</f>
        <v>-0.0334949180657226</v>
      </c>
      <c r="H81" s="25" t="n">
        <f aca="false">(D81-D80)/D80</f>
        <v>-0.0359254828291795</v>
      </c>
      <c r="J81" s="24" t="n">
        <f aca="false">MAX($B$2:B81)</f>
        <v>32.915415</v>
      </c>
      <c r="K81" s="25" t="n">
        <f aca="false">(B81-J81)/J81</f>
        <v>-0.484038770284379</v>
      </c>
    </row>
    <row r="82" customFormat="false" ht="15" hidden="false" customHeight="false" outlineLevel="0" collapsed="false">
      <c r="A82" s="22" t="n">
        <v>44907</v>
      </c>
      <c r="B82" s="23" t="n">
        <v>16.553532</v>
      </c>
      <c r="C82" s="23" t="n">
        <v>367.382</v>
      </c>
      <c r="D82" s="23" t="n">
        <v>268.411163</v>
      </c>
      <c r="F82" s="25" t="n">
        <f aca="false">(B82-B81)/B81</f>
        <v>-0.0252925883046641</v>
      </c>
      <c r="G82" s="25" t="n">
        <f aca="false">(C82-C81)/C81</f>
        <v>-0.0209256090865966</v>
      </c>
      <c r="H82" s="25" t="n">
        <f aca="false">(D82-D81)/D81</f>
        <v>-0.0276201944771471</v>
      </c>
      <c r="J82" s="24" t="n">
        <f aca="false">MAX($B$2:B82)</f>
        <v>32.915415</v>
      </c>
      <c r="K82" s="25" t="n">
        <f aca="false">(B82-J82)/J82</f>
        <v>-0.497088765248744</v>
      </c>
    </row>
    <row r="83" customFormat="false" ht="15" hidden="false" customHeight="false" outlineLevel="0" collapsed="false">
      <c r="A83" s="22" t="n">
        <v>44914</v>
      </c>
      <c r="B83" s="23" t="n">
        <v>15.18997</v>
      </c>
      <c r="C83" s="23" t="n">
        <v>367.037</v>
      </c>
      <c r="D83" s="23" t="n">
        <v>262.294691</v>
      </c>
      <c r="F83" s="25" t="n">
        <f aca="false">(B83-B82)/B82</f>
        <v>-0.0823728736562082</v>
      </c>
      <c r="G83" s="25" t="n">
        <f aca="false">(C83-C82)/C82</f>
        <v>-0.000939077036980656</v>
      </c>
      <c r="H83" s="25" t="n">
        <f aca="false">(D83-D82)/D82</f>
        <v>-0.0227876960542062</v>
      </c>
      <c r="J83" s="24" t="n">
        <f aca="false">MAX($B$2:B83)</f>
        <v>32.915415</v>
      </c>
      <c r="K83" s="25" t="n">
        <f aca="false">(B83-J83)/J83</f>
        <v>-0.538515008849197</v>
      </c>
    </row>
    <row r="84" customFormat="false" ht="15" hidden="false" customHeight="false" outlineLevel="0" collapsed="false">
      <c r="A84" s="22" t="n">
        <v>44922</v>
      </c>
      <c r="B84" s="23" t="n">
        <v>14.598595</v>
      </c>
      <c r="C84" s="23" t="n">
        <v>366.577</v>
      </c>
      <c r="D84" s="23" t="n">
        <v>261.235152</v>
      </c>
      <c r="F84" s="25" t="n">
        <f aca="false">(B84-B83)/B83</f>
        <v>-0.0389319399577485</v>
      </c>
      <c r="G84" s="25" t="n">
        <f aca="false">(C84-C83)/C83</f>
        <v>-0.00125327964210687</v>
      </c>
      <c r="H84" s="25" t="n">
        <f aca="false">(D84-D83)/D83</f>
        <v>-0.00403949845862482</v>
      </c>
      <c r="J84" s="24" t="n">
        <f aca="false">MAX($B$2:B84)</f>
        <v>32.915415</v>
      </c>
      <c r="K84" s="25" t="n">
        <f aca="false">(B84-J84)/J84</f>
        <v>-0.556481514816082</v>
      </c>
    </row>
    <row r="85" customFormat="false" ht="15" hidden="false" customHeight="false" outlineLevel="0" collapsed="false">
      <c r="A85" s="22" t="n">
        <v>44929</v>
      </c>
      <c r="B85" s="23" t="n">
        <v>14.843336</v>
      </c>
      <c r="C85" s="23" t="n">
        <v>371.993</v>
      </c>
      <c r="D85" s="23" t="n">
        <v>263.707409</v>
      </c>
      <c r="F85" s="25" t="n">
        <f aca="false">(B85-B84)/B84</f>
        <v>0.0167646955066567</v>
      </c>
      <c r="G85" s="25" t="n">
        <f aca="false">(C85-C84)/C84</f>
        <v>0.0147745221331398</v>
      </c>
      <c r="H85" s="25" t="n">
        <f aca="false">(D85-D84)/D84</f>
        <v>0.00946372255445912</v>
      </c>
      <c r="J85" s="24" t="n">
        <f aca="false">MAX($B$2:B85)</f>
        <v>32.915415</v>
      </c>
      <c r="K85" s="25" t="n">
        <f aca="false">(B85-J85)/J85</f>
        <v>-0.5490460624604</v>
      </c>
    </row>
    <row r="86" customFormat="false" ht="15" hidden="false" customHeight="false" outlineLevel="0" collapsed="false">
      <c r="A86" s="22" t="n">
        <v>44935</v>
      </c>
      <c r="B86" s="23" t="n">
        <v>16.881186</v>
      </c>
      <c r="C86" s="23" t="n">
        <v>381.981</v>
      </c>
      <c r="D86" s="23" t="n">
        <v>275.646841</v>
      </c>
      <c r="F86" s="25" t="n">
        <f aca="false">(B86-B85)/B85</f>
        <v>0.137290565948248</v>
      </c>
      <c r="G86" s="25" t="n">
        <f aca="false">(C86-C85)/C85</f>
        <v>0.0268499676069173</v>
      </c>
      <c r="H86" s="25" t="n">
        <f aca="false">(D86-D85)/D85</f>
        <v>0.0452752997925819</v>
      </c>
      <c r="J86" s="24" t="n">
        <f aca="false">MAX($B$2:B86)</f>
        <v>32.915415</v>
      </c>
      <c r="K86" s="25" t="n">
        <f aca="false">(B86-J86)/J86</f>
        <v>-0.487134341158998</v>
      </c>
    </row>
    <row r="87" customFormat="false" ht="15" hidden="false" customHeight="false" outlineLevel="0" collapsed="false">
      <c r="A87" s="22" t="n">
        <v>44943</v>
      </c>
      <c r="B87" s="23" t="n">
        <v>17.820195</v>
      </c>
      <c r="C87" s="23" t="n">
        <v>379.47</v>
      </c>
      <c r="D87" s="23" t="n">
        <v>277.324444</v>
      </c>
      <c r="F87" s="25" t="n">
        <f aca="false">(B87-B86)/B86</f>
        <v>0.0556245870402707</v>
      </c>
      <c r="G87" s="25" t="n">
        <f aca="false">(C87-C86)/C86</f>
        <v>-0.00657362538974443</v>
      </c>
      <c r="H87" s="25" t="n">
        <f aca="false">(D87-D86)/D86</f>
        <v>0.00608605922677718</v>
      </c>
      <c r="J87" s="24" t="n">
        <f aca="false">MAX($B$2:B87)</f>
        <v>32.915415</v>
      </c>
      <c r="K87" s="25" t="n">
        <f aca="false">(B87-J87)/J87</f>
        <v>-0.458606400678831</v>
      </c>
    </row>
    <row r="88" customFormat="false" ht="15" hidden="false" customHeight="false" outlineLevel="0" collapsed="false">
      <c r="A88" s="22" t="n">
        <v>44949</v>
      </c>
      <c r="B88" s="23" t="n">
        <v>20.343532</v>
      </c>
      <c r="C88" s="23" t="n">
        <v>388.864</v>
      </c>
      <c r="D88" s="23" t="n">
        <v>290.647162</v>
      </c>
      <c r="F88" s="25" t="n">
        <f aca="false">(B88-B87)/B87</f>
        <v>0.141599853424724</v>
      </c>
      <c r="G88" s="25" t="n">
        <f aca="false">(C88-C87)/C87</f>
        <v>0.0247555801512635</v>
      </c>
      <c r="H88" s="25" t="n">
        <f aca="false">(D88-D87)/D87</f>
        <v>0.0480401864611688</v>
      </c>
      <c r="J88" s="24" t="n">
        <f aca="false">MAX($B$2:B88)</f>
        <v>32.915415</v>
      </c>
      <c r="K88" s="25" t="n">
        <f aca="false">(B88-J88)/J88</f>
        <v>-0.38194514636987</v>
      </c>
    </row>
    <row r="89" customFormat="false" ht="15" hidden="false" customHeight="false" outlineLevel="0" collapsed="false">
      <c r="A89" s="22" t="n">
        <v>44956</v>
      </c>
      <c r="B89" s="23" t="n">
        <v>21.077757</v>
      </c>
      <c r="C89" s="23" t="n">
        <v>395.257</v>
      </c>
      <c r="D89" s="23" t="n">
        <v>300.379221</v>
      </c>
      <c r="F89" s="25" t="n">
        <f aca="false">(B89-B88)/B88</f>
        <v>0.0360913237681637</v>
      </c>
      <c r="G89" s="25" t="n">
        <f aca="false">(C89-C88)/C88</f>
        <v>0.0164401950296248</v>
      </c>
      <c r="H89" s="25" t="n">
        <f aca="false">(D89-D88)/D88</f>
        <v>0.0334841012485097</v>
      </c>
      <c r="J89" s="24" t="n">
        <f aca="false">MAX($B$2:B89)</f>
        <v>32.915415</v>
      </c>
      <c r="K89" s="25" t="n">
        <f aca="false">(B89-J89)/J89</f>
        <v>-0.35963872854102</v>
      </c>
    </row>
    <row r="90" customFormat="false" ht="15" hidden="false" customHeight="false" outlineLevel="0" collapsed="false">
      <c r="A90" s="22" t="n">
        <v>44963</v>
      </c>
      <c r="B90" s="23" t="n">
        <v>21.242583</v>
      </c>
      <c r="C90" s="23" t="n">
        <v>391.126</v>
      </c>
      <c r="D90" s="23" t="n">
        <v>294.021989</v>
      </c>
      <c r="F90" s="25" t="n">
        <f aca="false">(B90-B89)/B89</f>
        <v>0.00781990227897596</v>
      </c>
      <c r="G90" s="25" t="n">
        <f aca="false">(C90-C89)/C89</f>
        <v>-0.0104514278052002</v>
      </c>
      <c r="H90" s="25" t="n">
        <f aca="false">(D90-D89)/D89</f>
        <v>-0.0211640205299019</v>
      </c>
      <c r="J90" s="24" t="n">
        <f aca="false">MAX($B$2:B90)</f>
        <v>32.915415</v>
      </c>
      <c r="K90" s="25" t="n">
        <f aca="false">(B90-J90)/J90</f>
        <v>-0.35463116597497</v>
      </c>
    </row>
    <row r="91" customFormat="false" ht="15" hidden="false" customHeight="false" outlineLevel="0" collapsed="false">
      <c r="A91" s="22" t="n">
        <v>44970</v>
      </c>
      <c r="B91" s="23" t="n">
        <v>21.365454</v>
      </c>
      <c r="C91" s="23" t="n">
        <v>390.378</v>
      </c>
      <c r="D91" s="23" t="n">
        <v>295.454328</v>
      </c>
      <c r="F91" s="25" t="n">
        <f aca="false">(B91-B90)/B90</f>
        <v>0.00578418359010295</v>
      </c>
      <c r="G91" s="25" t="n">
        <f aca="false">(C91-C90)/C90</f>
        <v>-0.00191242719737371</v>
      </c>
      <c r="H91" s="25" t="n">
        <f aca="false">(D91-D90)/D90</f>
        <v>0.0048715370060297</v>
      </c>
      <c r="J91" s="24" t="n">
        <f aca="false">MAX($B$2:B91)</f>
        <v>32.915415</v>
      </c>
      <c r="K91" s="25" t="n">
        <f aca="false">(B91-J91)/J91</f>
        <v>-0.350898234155638</v>
      </c>
    </row>
    <row r="92" customFormat="false" ht="15" hidden="false" customHeight="false" outlineLevel="0" collapsed="false">
      <c r="A92" s="22" t="n">
        <v>44978</v>
      </c>
      <c r="B92" s="23" t="n">
        <v>23.261453</v>
      </c>
      <c r="C92" s="23" t="n">
        <v>379.949</v>
      </c>
      <c r="D92" s="23" t="n">
        <v>286.320712</v>
      </c>
      <c r="F92" s="25" t="n">
        <f aca="false">(B92-B91)/B91</f>
        <v>0.0887413391730407</v>
      </c>
      <c r="G92" s="25" t="n">
        <f aca="false">(C92-C91)/C91</f>
        <v>-0.0267151325125903</v>
      </c>
      <c r="H92" s="25" t="n">
        <f aca="false">(D92-D91)/D91</f>
        <v>-0.0309137999833259</v>
      </c>
      <c r="J92" s="24" t="n">
        <f aca="false">MAX($B$2:B92)</f>
        <v>32.915415</v>
      </c>
      <c r="K92" s="25" t="n">
        <f aca="false">(B92-J92)/J92</f>
        <v>-0.293296074195024</v>
      </c>
    </row>
    <row r="93" customFormat="false" ht="15" hidden="false" customHeight="false" outlineLevel="0" collapsed="false">
      <c r="A93" s="22" t="n">
        <v>44984</v>
      </c>
      <c r="B93" s="23" t="n">
        <v>23.864816</v>
      </c>
      <c r="C93" s="23" t="n">
        <v>387.435</v>
      </c>
      <c r="D93" s="23" t="n">
        <v>294.002368</v>
      </c>
      <c r="F93" s="25" t="n">
        <f aca="false">(B93-B92)/B92</f>
        <v>0.0259383195022255</v>
      </c>
      <c r="G93" s="25" t="n">
        <f aca="false">(C93-C92)/C92</f>
        <v>0.0197026443022616</v>
      </c>
      <c r="H93" s="25" t="n">
        <f aca="false">(D93-D92)/D92</f>
        <v>0.026828851976311</v>
      </c>
      <c r="J93" s="24" t="n">
        <f aca="false">MAX($B$2:B93)</f>
        <v>32.915415</v>
      </c>
      <c r="K93" s="25" t="n">
        <f aca="false">(B93-J93)/J93</f>
        <v>-0.274965361974017</v>
      </c>
    </row>
    <row r="94" customFormat="false" ht="15" hidden="false" customHeight="false" outlineLevel="0" collapsed="false">
      <c r="A94" s="22" t="n">
        <v>44991</v>
      </c>
      <c r="B94" s="23" t="n">
        <v>22.944688</v>
      </c>
      <c r="C94" s="23" t="n">
        <v>369.913</v>
      </c>
      <c r="D94" s="23" t="n">
        <v>283.083233</v>
      </c>
      <c r="F94" s="25" t="n">
        <f aca="false">(B94-B93)/B93</f>
        <v>-0.0385558388549906</v>
      </c>
      <c r="G94" s="25" t="n">
        <f aca="false">(C94-C93)/C93</f>
        <v>-0.0452256507543201</v>
      </c>
      <c r="H94" s="25" t="n">
        <f aca="false">(D94-D93)/D93</f>
        <v>-0.0371396158278561</v>
      </c>
      <c r="J94" s="24" t="n">
        <f aca="false">MAX($B$2:B94)</f>
        <v>32.915415</v>
      </c>
      <c r="K94" s="25" t="n">
        <f aca="false">(B94-J94)/J94</f>
        <v>-0.302919680642034</v>
      </c>
    </row>
    <row r="95" customFormat="false" ht="15" hidden="false" customHeight="false" outlineLevel="0" collapsed="false">
      <c r="A95" s="22" t="n">
        <v>44998</v>
      </c>
      <c r="B95" s="23" t="n">
        <v>25.702247</v>
      </c>
      <c r="C95" s="23" t="n">
        <v>375.268</v>
      </c>
      <c r="D95" s="23" t="n">
        <v>299.574756</v>
      </c>
      <c r="F95" s="25" t="n">
        <f aca="false">(B95-B94)/B94</f>
        <v>0.120182893748653</v>
      </c>
      <c r="G95" s="25" t="n">
        <f aca="false">(C95-C94)/C94</f>
        <v>0.0144763768778063</v>
      </c>
      <c r="H95" s="25" t="n">
        <f aca="false">(D95-D94)/D94</f>
        <v>0.0582567989818033</v>
      </c>
      <c r="J95" s="24" t="n">
        <f aca="false">MAX($B$2:B95)</f>
        <v>32.915415</v>
      </c>
      <c r="K95" s="25" t="n">
        <f aca="false">(B95-J95)/J95</f>
        <v>-0.219142550686358</v>
      </c>
    </row>
    <row r="96" customFormat="false" ht="15" hidden="false" customHeight="false" outlineLevel="0" collapsed="false">
      <c r="A96" s="22" t="n">
        <v>45005</v>
      </c>
      <c r="B96" s="23" t="n">
        <v>26.755314</v>
      </c>
      <c r="C96" s="23" t="n">
        <v>380.81</v>
      </c>
      <c r="D96" s="23" t="n">
        <v>305.472391</v>
      </c>
      <c r="F96" s="25" t="n">
        <f aca="false">(B96-B95)/B95</f>
        <v>0.0409717874083149</v>
      </c>
      <c r="G96" s="25" t="n">
        <f aca="false">(C96-C95)/C95</f>
        <v>0.0147681123890127</v>
      </c>
      <c r="H96" s="25" t="n">
        <f aca="false">(D96-D95)/D95</f>
        <v>0.0196866888210035</v>
      </c>
      <c r="J96" s="24" t="n">
        <f aca="false">MAX($B$2:B96)</f>
        <v>32.915415</v>
      </c>
      <c r="K96" s="25" t="n">
        <f aca="false">(B96-J96)/J96</f>
        <v>-0.18714942527688</v>
      </c>
    </row>
    <row r="97" customFormat="false" ht="15" hidden="false" customHeight="false" outlineLevel="0" collapsed="false">
      <c r="A97" s="22" t="n">
        <v>45012</v>
      </c>
      <c r="B97" s="23" t="n">
        <v>27.752432</v>
      </c>
      <c r="C97" s="23" t="n">
        <v>393.935</v>
      </c>
      <c r="D97" s="23" t="n">
        <v>315.337432</v>
      </c>
      <c r="F97" s="25" t="n">
        <f aca="false">(B97-B96)/B96</f>
        <v>0.03726803580029</v>
      </c>
      <c r="G97" s="25" t="n">
        <f aca="false">(C97-C96)/C96</f>
        <v>0.0344660066699929</v>
      </c>
      <c r="H97" s="25" t="n">
        <f aca="false">(D97-D96)/D96</f>
        <v>0.0322943784467905</v>
      </c>
      <c r="J97" s="24" t="n">
        <f aca="false">MAX($B$2:B97)</f>
        <v>32.915415</v>
      </c>
      <c r="K97" s="25" t="n">
        <f aca="false">(B97-J97)/J97</f>
        <v>-0.156856080957813</v>
      </c>
    </row>
    <row r="98" customFormat="false" ht="15" hidden="false" customHeight="false" outlineLevel="0" collapsed="false">
      <c r="A98" s="22" t="n">
        <v>45019</v>
      </c>
      <c r="B98" s="23" t="n">
        <v>27.013086</v>
      </c>
      <c r="C98" s="23" t="n">
        <v>393.743</v>
      </c>
      <c r="D98" s="23" t="n">
        <v>312.50762</v>
      </c>
      <c r="F98" s="25" t="n">
        <f aca="false">(B98-B97)/B97</f>
        <v>-0.026640764312115</v>
      </c>
      <c r="G98" s="25" t="n">
        <f aca="false">(C98-C97)/C97</f>
        <v>-0.000487390051658287</v>
      </c>
      <c r="H98" s="25" t="n">
        <f aca="false">(D98-D97)/D97</f>
        <v>-0.00897391718468743</v>
      </c>
      <c r="J98" s="24" t="n">
        <f aca="false">MAX($B$2:B98)</f>
        <v>32.915415</v>
      </c>
      <c r="K98" s="25" t="n">
        <f aca="false">(B98-J98)/J98</f>
        <v>-0.179318079386209</v>
      </c>
    </row>
    <row r="99" customFormat="false" ht="15" hidden="false" customHeight="false" outlineLevel="0" collapsed="false">
      <c r="A99" s="22" t="n">
        <v>45026</v>
      </c>
      <c r="B99" s="23" t="n">
        <v>26.734333</v>
      </c>
      <c r="C99" s="23" t="n">
        <v>396.889</v>
      </c>
      <c r="D99" s="23" t="n">
        <v>313.018558</v>
      </c>
      <c r="F99" s="25" t="n">
        <f aca="false">(B99-B98)/B98</f>
        <v>-0.0103191838207601</v>
      </c>
      <c r="G99" s="25" t="n">
        <f aca="false">(C99-C98)/C98</f>
        <v>0.00798998331398911</v>
      </c>
      <c r="H99" s="25" t="n">
        <f aca="false">(D99-D98)/D98</f>
        <v>0.00163496173309313</v>
      </c>
      <c r="J99" s="24" t="n">
        <f aca="false">MAX($B$2:B99)</f>
        <v>32.915415</v>
      </c>
      <c r="K99" s="25" t="n">
        <f aca="false">(B99-J99)/J99</f>
        <v>-0.187786846983397</v>
      </c>
    </row>
    <row r="100" customFormat="false" ht="15" hidden="false" customHeight="false" outlineLevel="0" collapsed="false">
      <c r="A100" s="22" t="n">
        <v>45033</v>
      </c>
      <c r="B100" s="23" t="n">
        <v>27.095014</v>
      </c>
      <c r="C100" s="23" t="n">
        <v>396.639</v>
      </c>
      <c r="D100" s="23" t="n">
        <v>311.092713</v>
      </c>
      <c r="F100" s="25" t="n">
        <f aca="false">(B100-B99)/B99</f>
        <v>0.0134913034860454</v>
      </c>
      <c r="G100" s="25" t="n">
        <f aca="false">(C100-C99)/C99</f>
        <v>-0.000629899039781904</v>
      </c>
      <c r="H100" s="25" t="n">
        <f aca="false">(D100-D99)/D99</f>
        <v>-0.00615249463899192</v>
      </c>
      <c r="J100" s="24" t="n">
        <f aca="false">MAX($B$2:B100)</f>
        <v>32.915415</v>
      </c>
      <c r="K100" s="25" t="n">
        <f aca="false">(B100-J100)/J100</f>
        <v>-0.176829032840692</v>
      </c>
    </row>
    <row r="101" customFormat="false" ht="15" hidden="false" customHeight="false" outlineLevel="0" collapsed="false">
      <c r="A101" s="22" t="n">
        <v>45040</v>
      </c>
      <c r="B101" s="23" t="n">
        <v>27.724456</v>
      </c>
      <c r="C101" s="23" t="n">
        <v>400.228</v>
      </c>
      <c r="D101" s="23" t="n">
        <v>316.939028</v>
      </c>
      <c r="F101" s="25" t="n">
        <f aca="false">(B101-B100)/B100</f>
        <v>0.023230916212112</v>
      </c>
      <c r="G101" s="25" t="n">
        <f aca="false">(C101-C100)/C100</f>
        <v>0.00904853027564107</v>
      </c>
      <c r="H101" s="25" t="n">
        <f aca="false">(D101-D100)/D100</f>
        <v>0.018792838133756</v>
      </c>
      <c r="J101" s="24" t="n">
        <f aca="false">MAX($B$2:B101)</f>
        <v>32.915415</v>
      </c>
      <c r="K101" s="25" t="n">
        <f aca="false">(B101-J101)/J101</f>
        <v>-0.157706017074371</v>
      </c>
    </row>
    <row r="102" customFormat="false" ht="15" hidden="false" customHeight="false" outlineLevel="0" collapsed="false">
      <c r="A102" s="22" t="n">
        <v>45047</v>
      </c>
      <c r="B102" s="23" t="n">
        <v>28.654633</v>
      </c>
      <c r="C102" s="23" t="n">
        <v>397.053</v>
      </c>
      <c r="D102" s="23" t="n">
        <v>317.263277</v>
      </c>
      <c r="F102" s="25" t="n">
        <f aca="false">(B102-B101)/B101</f>
        <v>0.0335507755318986</v>
      </c>
      <c r="G102" s="25" t="n">
        <f aca="false">(C102-C101)/C101</f>
        <v>-0.00793297820242465</v>
      </c>
      <c r="H102" s="25" t="n">
        <f aca="false">(D102-D101)/D101</f>
        <v>0.00102306428478101</v>
      </c>
      <c r="J102" s="24" t="n">
        <f aca="false">MAX($B$2:B102)</f>
        <v>32.915415</v>
      </c>
      <c r="K102" s="25" t="n">
        <f aca="false">(B102-J102)/J102</f>
        <v>-0.129446400721364</v>
      </c>
    </row>
    <row r="103" customFormat="false" ht="15" hidden="false" customHeight="false" outlineLevel="0" collapsed="false">
      <c r="A103" s="22" t="n">
        <v>45054</v>
      </c>
      <c r="B103" s="23" t="n">
        <v>28.314934</v>
      </c>
      <c r="C103" s="23" t="n">
        <v>396.052</v>
      </c>
      <c r="D103" s="23" t="n">
        <v>319.365985</v>
      </c>
      <c r="F103" s="25" t="n">
        <f aca="false">(B103-B102)/B102</f>
        <v>-0.0118549415726246</v>
      </c>
      <c r="G103" s="25" t="n">
        <f aca="false">(C103-C102)/C102</f>
        <v>-0.00252107401278917</v>
      </c>
      <c r="H103" s="25" t="n">
        <f aca="false">(D103-D102)/D102</f>
        <v>0.00662764382907136</v>
      </c>
      <c r="J103" s="24" t="n">
        <f aca="false">MAX($B$2:B103)</f>
        <v>32.915415</v>
      </c>
      <c r="K103" s="25" t="n">
        <f aca="false">(B103-J103)/J103</f>
        <v>-0.13976676277665</v>
      </c>
    </row>
    <row r="104" customFormat="false" ht="15" hidden="false" customHeight="false" outlineLevel="0" collapsed="false">
      <c r="A104" s="22" t="n">
        <v>45061</v>
      </c>
      <c r="B104" s="23" t="n">
        <v>31.236347</v>
      </c>
      <c r="C104" s="23" t="n">
        <v>402.817</v>
      </c>
      <c r="D104" s="23" t="n">
        <v>330.645933</v>
      </c>
      <c r="F104" s="25" t="n">
        <f aca="false">(B104-B103)/B103</f>
        <v>0.103175695200278</v>
      </c>
      <c r="G104" s="25" t="n">
        <f aca="false">(C104-C103)/C103</f>
        <v>0.0170810903618716</v>
      </c>
      <c r="H104" s="25" t="n">
        <f aca="false">(D104-D103)/D103</f>
        <v>0.0353198165421405</v>
      </c>
      <c r="J104" s="24" t="n">
        <f aca="false">MAX($B$2:B104)</f>
        <v>32.915415</v>
      </c>
      <c r="K104" s="25" t="n">
        <f aca="false">(B104-J104)/J104</f>
        <v>-0.0510116004917454</v>
      </c>
    </row>
    <row r="105" customFormat="false" ht="15" hidden="false" customHeight="false" outlineLevel="0" collapsed="false">
      <c r="A105" s="22" t="n">
        <v>45068</v>
      </c>
      <c r="B105" s="23" t="n">
        <v>38.911553</v>
      </c>
      <c r="C105" s="23" t="n">
        <v>404.164</v>
      </c>
      <c r="D105" s="23" t="n">
        <v>342.328736</v>
      </c>
      <c r="F105" s="25" t="n">
        <f aca="false">(B105-B104)/B104</f>
        <v>0.245713943439033</v>
      </c>
      <c r="G105" s="25" t="n">
        <f aca="false">(C105-C104)/C104</f>
        <v>0.00334395023050164</v>
      </c>
      <c r="H105" s="25" t="n">
        <f aca="false">(D105-D104)/D104</f>
        <v>0.0353332729484986</v>
      </c>
      <c r="J105" s="24" t="n">
        <f aca="false">MAX($B$2:B105)</f>
        <v>38.911553</v>
      </c>
      <c r="K105" s="25" t="n">
        <f aca="false">(B105-J105)/J105</f>
        <v>0</v>
      </c>
    </row>
    <row r="106" customFormat="false" ht="15" hidden="false" customHeight="false" outlineLevel="0" collapsed="false">
      <c r="A106" s="22" t="n">
        <v>45076</v>
      </c>
      <c r="B106" s="23" t="n">
        <v>39.292216</v>
      </c>
      <c r="C106" s="23" t="n">
        <v>411.766</v>
      </c>
      <c r="D106" s="23" t="n">
        <v>348.469823</v>
      </c>
      <c r="F106" s="25" t="n">
        <f aca="false">(B106-B105)/B105</f>
        <v>0.00978277582495886</v>
      </c>
      <c r="G106" s="25" t="n">
        <f aca="false">(C106-C105)/C105</f>
        <v>0.018809196266862</v>
      </c>
      <c r="H106" s="25" t="n">
        <f aca="false">(D106-D105)/D105</f>
        <v>0.0179391513308425</v>
      </c>
      <c r="J106" s="24" t="n">
        <f aca="false">MAX($B$2:B106)</f>
        <v>39.292216</v>
      </c>
      <c r="K106" s="25" t="n">
        <f aca="false">(B106-J106)/J106</f>
        <v>0</v>
      </c>
    </row>
    <row r="107" customFormat="false" ht="15" hidden="false" customHeight="false" outlineLevel="0" collapsed="false">
      <c r="A107" s="22" t="n">
        <v>45082</v>
      </c>
      <c r="B107" s="23" t="n">
        <v>38.739717</v>
      </c>
      <c r="C107" s="23" t="n">
        <v>413.671</v>
      </c>
      <c r="D107" s="23" t="n">
        <v>348.322437</v>
      </c>
      <c r="F107" s="25" t="n">
        <f aca="false">(B107-B106)/B106</f>
        <v>-0.0140612837921894</v>
      </c>
      <c r="G107" s="25" t="n">
        <f aca="false">(C107-C106)/C106</f>
        <v>0.00462641403127012</v>
      </c>
      <c r="H107" s="25" t="n">
        <f aca="false">(D107-D106)/D106</f>
        <v>-0.000422951975385369</v>
      </c>
      <c r="J107" s="24" t="n">
        <f aca="false">MAX($B$2:B107)</f>
        <v>39.292216</v>
      </c>
      <c r="K107" s="25" t="n">
        <f aca="false">(B107-J107)/J107</f>
        <v>-0.0140612837921894</v>
      </c>
    </row>
    <row r="108" customFormat="false" ht="15" hidden="false" customHeight="false" outlineLevel="0" collapsed="false">
      <c r="A108" s="22" t="n">
        <v>45089</v>
      </c>
      <c r="B108" s="23" t="n">
        <v>42.658654</v>
      </c>
      <c r="C108" s="23" t="n">
        <v>424.447</v>
      </c>
      <c r="D108" s="23" t="n">
        <v>361.518404</v>
      </c>
      <c r="F108" s="25" t="n">
        <f aca="false">(B108-B107)/B107</f>
        <v>0.101160702851805</v>
      </c>
      <c r="G108" s="25" t="n">
        <f aca="false">(C108-C107)/C107</f>
        <v>0.0260496868284216</v>
      </c>
      <c r="H108" s="25" t="n">
        <f aca="false">(D108-D107)/D107</f>
        <v>0.0378843439247067</v>
      </c>
      <c r="J108" s="24" t="n">
        <f aca="false">MAX($B$2:B108)</f>
        <v>42.658654</v>
      </c>
      <c r="K108" s="25" t="n">
        <f aca="false">(B108-J108)/J108</f>
        <v>0</v>
      </c>
    </row>
    <row r="109" customFormat="false" ht="15" hidden="false" customHeight="false" outlineLevel="0" collapsed="false">
      <c r="A109" s="22" t="n">
        <v>45097</v>
      </c>
      <c r="B109" s="23" t="n">
        <v>42.176031</v>
      </c>
      <c r="C109" s="23" t="n">
        <v>418.41</v>
      </c>
      <c r="D109" s="23" t="n">
        <v>356.710914</v>
      </c>
      <c r="F109" s="25" t="n">
        <f aca="false">(B109-B108)/B108</f>
        <v>-0.0113136012214543</v>
      </c>
      <c r="G109" s="25" t="n">
        <f aca="false">(C109-C108)/C108</f>
        <v>-0.0142232127921742</v>
      </c>
      <c r="H109" s="25" t="n">
        <f aca="false">(D109-D108)/D108</f>
        <v>-0.0132980505191652</v>
      </c>
      <c r="J109" s="24" t="n">
        <f aca="false">MAX($B$2:B109)</f>
        <v>42.658654</v>
      </c>
      <c r="K109" s="25" t="n">
        <f aca="false">(B109-J109)/J109</f>
        <v>-0.0113136012214543</v>
      </c>
    </row>
    <row r="110" customFormat="false" ht="15" hidden="false" customHeight="false" outlineLevel="0" collapsed="false">
      <c r="A110" s="22" t="n">
        <v>45103</v>
      </c>
      <c r="B110" s="23" t="n">
        <v>42.268959</v>
      </c>
      <c r="C110" s="23" t="n">
        <v>428.136</v>
      </c>
      <c r="D110" s="23" t="n">
        <v>363.480295</v>
      </c>
      <c r="F110" s="25" t="n">
        <f aca="false">(B110-B109)/B109</f>
        <v>0.00220333677201633</v>
      </c>
      <c r="G110" s="25" t="n">
        <f aca="false">(C110-C109)/C109</f>
        <v>0.0232451423245142</v>
      </c>
      <c r="H110" s="25" t="n">
        <f aca="false">(D110-D109)/D109</f>
        <v>0.0189772186224726</v>
      </c>
      <c r="J110" s="24" t="n">
        <f aca="false">MAX($B$2:B110)</f>
        <v>42.658654</v>
      </c>
      <c r="K110" s="25" t="n">
        <f aca="false">(B110-J110)/J110</f>
        <v>-0.00913519212303314</v>
      </c>
    </row>
    <row r="111" customFormat="false" ht="15" hidden="false" customHeight="false" outlineLevel="0" collapsed="false">
      <c r="A111" s="22" t="n">
        <v>45110</v>
      </c>
      <c r="B111" s="23" t="n">
        <v>42.469802</v>
      </c>
      <c r="C111" s="23" t="n">
        <v>423.568</v>
      </c>
      <c r="D111" s="23" t="n">
        <v>360.351424</v>
      </c>
      <c r="F111" s="25" t="n">
        <f aca="false">(B111-B110)/B110</f>
        <v>0.00475154829339419</v>
      </c>
      <c r="G111" s="25" t="n">
        <f aca="false">(C111-C110)/C110</f>
        <v>-0.0106695068856626</v>
      </c>
      <c r="H111" s="25" t="n">
        <f aca="false">(D111-D110)/D110</f>
        <v>-0.00860808974527767</v>
      </c>
      <c r="J111" s="24" t="n">
        <f aca="false">MAX($B$2:B111)</f>
        <v>42.658654</v>
      </c>
      <c r="K111" s="25" t="n">
        <f aca="false">(B111-J111)/J111</f>
        <v>-0.00442705013618098</v>
      </c>
    </row>
    <row r="112" customFormat="false" ht="15" hidden="false" customHeight="false" outlineLevel="0" collapsed="false">
      <c r="A112" s="22" t="n">
        <v>45117</v>
      </c>
      <c r="B112" s="23" t="n">
        <v>45.433485</v>
      </c>
      <c r="C112" s="23" t="n">
        <v>433.931</v>
      </c>
      <c r="D112" s="23" t="n">
        <v>372.975137</v>
      </c>
      <c r="F112" s="25" t="n">
        <f aca="false">(B112-B111)/B111</f>
        <v>0.0697833015562445</v>
      </c>
      <c r="G112" s="25" t="n">
        <f aca="false">(C112-C111)/C111</f>
        <v>0.0244659653231594</v>
      </c>
      <c r="H112" s="25" t="n">
        <f aca="false">(D112-D111)/D111</f>
        <v>0.0350316723044225</v>
      </c>
      <c r="J112" s="24" t="n">
        <f aca="false">MAX($B$2:B112)</f>
        <v>45.433485</v>
      </c>
      <c r="K112" s="25" t="n">
        <f aca="false">(B112-J112)/J112</f>
        <v>0</v>
      </c>
    </row>
    <row r="113" customFormat="false" ht="15" hidden="false" customHeight="false" outlineLevel="0" collapsed="false">
      <c r="A113" s="22" t="n">
        <v>45124</v>
      </c>
      <c r="B113" s="23" t="n">
        <v>44.274391</v>
      </c>
      <c r="C113" s="23" t="n">
        <v>436.732</v>
      </c>
      <c r="D113" s="23" t="n">
        <v>369.590447</v>
      </c>
      <c r="F113" s="25" t="n">
        <f aca="false">(B113-B112)/B112</f>
        <v>-0.0255118884232631</v>
      </c>
      <c r="G113" s="25" t="n">
        <f aca="false">(C113-C112)/C112</f>
        <v>0.00645494329743679</v>
      </c>
      <c r="H113" s="25" t="n">
        <f aca="false">(D113-D112)/D112</f>
        <v>-0.00907484082511386</v>
      </c>
      <c r="J113" s="24" t="n">
        <f aca="false">MAX($B$2:B113)</f>
        <v>45.433485</v>
      </c>
      <c r="K113" s="25" t="n">
        <f aca="false">(B113-J113)/J113</f>
        <v>-0.0255118884232631</v>
      </c>
    </row>
    <row r="114" customFormat="false" ht="15" hidden="false" customHeight="false" outlineLevel="0" collapsed="false">
      <c r="A114" s="22" t="n">
        <v>45131</v>
      </c>
      <c r="B114" s="23" t="n">
        <v>46.713484</v>
      </c>
      <c r="C114" s="23" t="n">
        <v>441.31</v>
      </c>
      <c r="D114" s="23" t="n">
        <v>377.314231</v>
      </c>
      <c r="F114" s="25" t="n">
        <f aca="false">(B114-B113)/B113</f>
        <v>0.0550903794475682</v>
      </c>
      <c r="G114" s="25" t="n">
        <f aca="false">(C114-C113)/C113</f>
        <v>0.0104824011063993</v>
      </c>
      <c r="H114" s="25" t="n">
        <f aca="false">(D114-D113)/D113</f>
        <v>0.0208982241361883</v>
      </c>
      <c r="J114" s="24" t="n">
        <f aca="false">MAX($B$2:B114)</f>
        <v>46.713484</v>
      </c>
      <c r="K114" s="25" t="n">
        <f aca="false">(B114-J114)/J114</f>
        <v>0</v>
      </c>
    </row>
    <row r="115" customFormat="false" ht="15" hidden="false" customHeight="false" outlineLevel="0" collapsed="false">
      <c r="A115" s="22" t="n">
        <v>45138</v>
      </c>
      <c r="B115" s="23" t="n">
        <v>44.645101</v>
      </c>
      <c r="C115" s="23" t="n">
        <v>431.546</v>
      </c>
      <c r="D115" s="23" t="n">
        <v>366.058169</v>
      </c>
      <c r="F115" s="25" t="n">
        <f aca="false">(B115-B114)/B114</f>
        <v>-0.0442780718303949</v>
      </c>
      <c r="G115" s="25" t="n">
        <f aca="false">(C115-C114)/C114</f>
        <v>-0.0221250368221885</v>
      </c>
      <c r="H115" s="25" t="n">
        <f aca="false">(D115-D114)/D114</f>
        <v>-0.0298320632385583</v>
      </c>
      <c r="J115" s="24" t="n">
        <f aca="false">MAX($B$2:B115)</f>
        <v>46.713484</v>
      </c>
      <c r="K115" s="25" t="n">
        <f aca="false">(B115-J115)/J115</f>
        <v>-0.0442780718303949</v>
      </c>
    </row>
    <row r="116" customFormat="false" ht="15" hidden="false" customHeight="false" outlineLevel="0" collapsed="false">
      <c r="A116" s="22" t="n">
        <v>45145</v>
      </c>
      <c r="B116" s="23" t="n">
        <v>40.823089</v>
      </c>
      <c r="C116" s="23" t="n">
        <v>430.425</v>
      </c>
      <c r="D116" s="23" t="n">
        <v>360.351424</v>
      </c>
      <c r="F116" s="25" t="n">
        <f aca="false">(B116-B115)/B115</f>
        <v>-0.0856087658979648</v>
      </c>
      <c r="G116" s="25" t="n">
        <f aca="false">(C116-C115)/C115</f>
        <v>-0.00259763733182553</v>
      </c>
      <c r="H116" s="25" t="n">
        <f aca="false">(D116-D115)/D115</f>
        <v>-0.015589721752665</v>
      </c>
      <c r="J116" s="24" t="n">
        <f aca="false">MAX($B$2:B116)</f>
        <v>46.713484</v>
      </c>
      <c r="K116" s="25" t="n">
        <f aca="false">(B116-J116)/J116</f>
        <v>-0.126096246642618</v>
      </c>
    </row>
    <row r="117" customFormat="false" ht="15" hidden="false" customHeight="false" outlineLevel="0" collapsed="false">
      <c r="A117" s="22" t="n">
        <v>45152</v>
      </c>
      <c r="B117" s="23" t="n">
        <v>43.26518</v>
      </c>
      <c r="C117" s="23" t="n">
        <v>421.588</v>
      </c>
      <c r="D117" s="23" t="n">
        <v>352.37182</v>
      </c>
      <c r="F117" s="25" t="n">
        <f aca="false">(B117-B116)/B116</f>
        <v>0.0598213182740776</v>
      </c>
      <c r="G117" s="25" t="n">
        <f aca="false">(C117-C116)/C116</f>
        <v>-0.0205308706511006</v>
      </c>
      <c r="H117" s="25" t="n">
        <f aca="false">(D117-D116)/D116</f>
        <v>-0.0221439502345355</v>
      </c>
      <c r="J117" s="24" t="n">
        <f aca="false">MAX($B$2:B117)</f>
        <v>46.713484</v>
      </c>
      <c r="K117" s="25" t="n">
        <f aca="false">(B117-J117)/J117</f>
        <v>-0.0738181720721152</v>
      </c>
    </row>
    <row r="118" customFormat="false" ht="15" hidden="false" customHeight="false" outlineLevel="0" collapsed="false">
      <c r="A118" s="22" t="n">
        <v>45159</v>
      </c>
      <c r="B118" s="23" t="n">
        <v>45.982056</v>
      </c>
      <c r="C118" s="23" t="n">
        <v>424.939</v>
      </c>
      <c r="D118" s="23" t="n">
        <v>358.167118</v>
      </c>
      <c r="F118" s="25" t="n">
        <f aca="false">(B118-B117)/B117</f>
        <v>0.0627959019239028</v>
      </c>
      <c r="G118" s="25" t="n">
        <f aca="false">(C118-C117)/C117</f>
        <v>0.00794851845877966</v>
      </c>
      <c r="H118" s="25" t="n">
        <f aca="false">(D118-D117)/D117</f>
        <v>0.0164465421780891</v>
      </c>
      <c r="J118" s="24" t="n">
        <f aca="false">MAX($B$2:B118)</f>
        <v>46.713484</v>
      </c>
      <c r="K118" s="25" t="n">
        <f aca="false">(B118-J118)/J118</f>
        <v>-0.0156577488418548</v>
      </c>
    </row>
    <row r="119" customFormat="false" ht="15" hidden="false" customHeight="false" outlineLevel="0" collapsed="false">
      <c r="A119" s="22" t="n">
        <v>45166</v>
      </c>
      <c r="B119" s="23" t="n">
        <v>48.47111</v>
      </c>
      <c r="C119" s="23" t="n">
        <v>435.776</v>
      </c>
      <c r="D119" s="23" t="n">
        <v>371.518933</v>
      </c>
      <c r="F119" s="25" t="n">
        <f aca="false">(B119-B118)/B118</f>
        <v>0.0541309853565487</v>
      </c>
      <c r="G119" s="25" t="n">
        <f aca="false">(C119-C118)/C118</f>
        <v>0.0255024838859224</v>
      </c>
      <c r="H119" s="25" t="n">
        <f aca="false">(D119-D118)/D118</f>
        <v>0.0372781708007042</v>
      </c>
      <c r="J119" s="24" t="n">
        <f aca="false">MAX($B$2:B119)</f>
        <v>48.47111</v>
      </c>
      <c r="K119" s="25" t="n">
        <f aca="false">(B119-J119)/J119</f>
        <v>0</v>
      </c>
    </row>
    <row r="120" customFormat="false" ht="15" hidden="false" customHeight="false" outlineLevel="0" collapsed="false">
      <c r="A120" s="22" t="n">
        <v>45174</v>
      </c>
      <c r="B120" s="23" t="n">
        <v>45.540157</v>
      </c>
      <c r="C120" s="23" t="n">
        <v>430.3</v>
      </c>
      <c r="D120" s="23" t="n">
        <v>366.589487</v>
      </c>
      <c r="F120" s="25" t="n">
        <f aca="false">(B120-B119)/B119</f>
        <v>-0.0604680396219522</v>
      </c>
      <c r="G120" s="25" t="n">
        <f aca="false">(C120-C119)/C119</f>
        <v>-0.0125660889998531</v>
      </c>
      <c r="H120" s="25" t="n">
        <f aca="false">(D120-D119)/D119</f>
        <v>-0.0132683574433069</v>
      </c>
      <c r="J120" s="24" t="n">
        <f aca="false">MAX($B$2:B120)</f>
        <v>48.47111</v>
      </c>
      <c r="K120" s="25" t="n">
        <f aca="false">(B120-J120)/J120</f>
        <v>-0.0604680396219522</v>
      </c>
    </row>
    <row r="121" customFormat="false" ht="15" hidden="false" customHeight="false" outlineLevel="0" collapsed="false">
      <c r="A121" s="22" t="n">
        <v>45180</v>
      </c>
      <c r="B121" s="23" t="n">
        <v>43.869325</v>
      </c>
      <c r="C121" s="23" t="n">
        <v>429.752</v>
      </c>
      <c r="D121" s="23" t="n">
        <v>364.847945</v>
      </c>
      <c r="F121" s="25" t="n">
        <f aca="false">(B121-B120)/B120</f>
        <v>-0.0366892015765338</v>
      </c>
      <c r="G121" s="25" t="n">
        <f aca="false">(C121-C120)/C120</f>
        <v>-0.00127353009528237</v>
      </c>
      <c r="H121" s="25" t="n">
        <f aca="false">(D121-D120)/D120</f>
        <v>-0.00475065996641644</v>
      </c>
      <c r="J121" s="24" t="n">
        <f aca="false">MAX($B$2:B121)</f>
        <v>48.47111</v>
      </c>
      <c r="K121" s="25" t="n">
        <f aca="false">(B121-J121)/J121</f>
        <v>-0.0949387171038583</v>
      </c>
    </row>
    <row r="122" customFormat="false" ht="15" hidden="false" customHeight="false" outlineLevel="0" collapsed="false">
      <c r="A122" s="22" t="n">
        <v>45187</v>
      </c>
      <c r="B122" s="23" t="n">
        <v>41.580925</v>
      </c>
      <c r="C122" s="23" t="n">
        <v>417.2</v>
      </c>
      <c r="D122" s="23" t="n">
        <v>352.664701</v>
      </c>
      <c r="F122" s="25" t="n">
        <f aca="false">(B122-B121)/B121</f>
        <v>-0.0521640120972913</v>
      </c>
      <c r="G122" s="25" t="n">
        <f aca="false">(C122-C121)/C121</f>
        <v>-0.0292075429550067</v>
      </c>
      <c r="H122" s="25" t="n">
        <f aca="false">(D122-D121)/D121</f>
        <v>-0.0333926617018495</v>
      </c>
      <c r="J122" s="24" t="n">
        <f aca="false">MAX($B$2:B122)</f>
        <v>48.47111</v>
      </c>
      <c r="K122" s="25" t="n">
        <f aca="false">(B122-J122)/J122</f>
        <v>-0.142150344813643</v>
      </c>
    </row>
    <row r="123" customFormat="false" ht="15" hidden="false" customHeight="false" outlineLevel="0" collapsed="false">
      <c r="A123" s="22" t="n">
        <v>45194</v>
      </c>
      <c r="B123" s="23" t="n">
        <v>43.468605</v>
      </c>
      <c r="C123" s="23" t="n">
        <v>414.35</v>
      </c>
      <c r="D123" s="23" t="n">
        <v>353.019425</v>
      </c>
      <c r="F123" s="25" t="n">
        <f aca="false">(B123-B122)/B122</f>
        <v>0.0453977394682777</v>
      </c>
      <c r="G123" s="25" t="n">
        <f aca="false">(C123-C122)/C122</f>
        <v>-0.00683125599232974</v>
      </c>
      <c r="H123" s="25" t="n">
        <f aca="false">(D123-D122)/D122</f>
        <v>0.00100583925466369</v>
      </c>
      <c r="J123" s="24" t="n">
        <f aca="false">MAX($B$2:B123)</f>
        <v>48.47111</v>
      </c>
      <c r="K123" s="25" t="n">
        <f aca="false">(B123-J123)/J123</f>
        <v>-0.103205909664541</v>
      </c>
    </row>
    <row r="124" customFormat="false" ht="15" hidden="false" customHeight="false" outlineLevel="0" collapsed="false">
      <c r="A124" s="22" t="n">
        <v>45201</v>
      </c>
      <c r="B124" s="23" t="n">
        <v>45.730024</v>
      </c>
      <c r="C124" s="23" t="n">
        <v>416.347</v>
      </c>
      <c r="D124" s="23" t="n">
        <v>359.355191</v>
      </c>
      <c r="F124" s="25" t="n">
        <f aca="false">(B124-B123)/B123</f>
        <v>0.0520241907924122</v>
      </c>
      <c r="G124" s="25" t="n">
        <f aca="false">(C124-C123)/C123</f>
        <v>0.00481959695909245</v>
      </c>
      <c r="H124" s="25" t="n">
        <f aca="false">(D124-D123)/D123</f>
        <v>0.0179473579959516</v>
      </c>
      <c r="J124" s="24" t="n">
        <f aca="false">MAX($B$2:B124)</f>
        <v>48.47111</v>
      </c>
      <c r="K124" s="25" t="n">
        <f aca="false">(B124-J124)/J124</f>
        <v>-0.0565509228074208</v>
      </c>
    </row>
    <row r="125" customFormat="false" ht="15" hidden="false" customHeight="false" outlineLevel="0" collapsed="false">
      <c r="A125" s="22" t="n">
        <v>45208</v>
      </c>
      <c r="B125" s="23" t="n">
        <v>45.429234</v>
      </c>
      <c r="C125" s="23" t="n">
        <v>418.247</v>
      </c>
      <c r="D125" s="23" t="n">
        <v>359.926691</v>
      </c>
      <c r="F125" s="25" t="n">
        <f aca="false">(B125-B124)/B124</f>
        <v>-0.00657751677541213</v>
      </c>
      <c r="G125" s="25" t="n">
        <f aca="false">(C125-C124)/C124</f>
        <v>0.00456350111805786</v>
      </c>
      <c r="H125" s="25" t="n">
        <f aca="false">(D125-D124)/D124</f>
        <v>0.0015903485306826</v>
      </c>
      <c r="J125" s="24" t="n">
        <f aca="false">MAX($B$2:B125)</f>
        <v>48.47111</v>
      </c>
      <c r="K125" s="25" t="n">
        <f aca="false">(B125-J125)/J125</f>
        <v>-0.0627564749394021</v>
      </c>
    </row>
    <row r="126" customFormat="false" ht="15" hidden="false" customHeight="false" outlineLevel="0" collapsed="false">
      <c r="A126" s="22" t="n">
        <v>45215</v>
      </c>
      <c r="B126" s="23" t="n">
        <v>41.358081</v>
      </c>
      <c r="C126" s="23" t="n">
        <v>408.253</v>
      </c>
      <c r="D126" s="23" t="n">
        <v>349.40321</v>
      </c>
      <c r="F126" s="25" t="n">
        <f aca="false">(B126-B125)/B125</f>
        <v>-0.0896152684414622</v>
      </c>
      <c r="G126" s="25" t="n">
        <f aca="false">(C126-C125)/C125</f>
        <v>-0.0238949711534094</v>
      </c>
      <c r="H126" s="25" t="n">
        <f aca="false">(D126-D125)/D125</f>
        <v>-0.0292378455478313</v>
      </c>
      <c r="J126" s="24" t="n">
        <f aca="false">MAX($B$2:B126)</f>
        <v>48.47111</v>
      </c>
      <c r="K126" s="25" t="n">
        <f aca="false">(B126-J126)/J126</f>
        <v>-0.14674780503273</v>
      </c>
    </row>
    <row r="127" customFormat="false" ht="15" hidden="false" customHeight="false" outlineLevel="0" collapsed="false">
      <c r="A127" s="22" t="n">
        <v>45222</v>
      </c>
      <c r="B127" s="23" t="n">
        <v>40.471701</v>
      </c>
      <c r="C127" s="23" t="n">
        <v>398.066</v>
      </c>
      <c r="D127" s="23" t="n">
        <v>340.249358</v>
      </c>
      <c r="F127" s="25" t="n">
        <f aca="false">(B127-B126)/B126</f>
        <v>-0.0214318454475679</v>
      </c>
      <c r="G127" s="25" t="n">
        <f aca="false">(C127-C126)/C126</f>
        <v>-0.0249526641567852</v>
      </c>
      <c r="H127" s="25" t="n">
        <f aca="false">(D127-D126)/D126</f>
        <v>-0.0261985343523319</v>
      </c>
      <c r="J127" s="24" t="n">
        <f aca="false">MAX($B$2:B127)</f>
        <v>48.47111</v>
      </c>
      <c r="K127" s="25" t="n">
        <f aca="false">(B127-J127)/J127</f>
        <v>-0.165034574203067</v>
      </c>
    </row>
    <row r="128" customFormat="false" ht="15" hidden="false" customHeight="false" outlineLevel="0" collapsed="false">
      <c r="A128" s="22" t="n">
        <v>45229</v>
      </c>
      <c r="B128" s="23" t="n">
        <v>44.973553</v>
      </c>
      <c r="C128" s="23" t="n">
        <v>421.339</v>
      </c>
      <c r="D128" s="23" t="n">
        <v>362.321078</v>
      </c>
      <c r="F128" s="25" t="n">
        <f aca="false">(B128-B127)/B127</f>
        <v>0.111234563627558</v>
      </c>
      <c r="G128" s="25" t="n">
        <f aca="false">(C128-C127)/C127</f>
        <v>0.0584651791411475</v>
      </c>
      <c r="H128" s="25" t="n">
        <f aca="false">(D128-D127)/D127</f>
        <v>0.0648692480413145</v>
      </c>
      <c r="J128" s="24" t="n">
        <f aca="false">MAX($B$2:B128)</f>
        <v>48.47111</v>
      </c>
      <c r="K128" s="25" t="n">
        <f aca="false">(B128-J128)/J128</f>
        <v>-0.0721575594204465</v>
      </c>
    </row>
    <row r="129" customFormat="false" ht="15" hidden="false" customHeight="false" outlineLevel="0" collapsed="false">
      <c r="A129" s="22" t="n">
        <v>45236</v>
      </c>
      <c r="B129" s="23" t="n">
        <v>48.301226</v>
      </c>
      <c r="C129" s="23" t="n">
        <v>427.077</v>
      </c>
      <c r="D129" s="23" t="n">
        <v>372.844559</v>
      </c>
      <c r="F129" s="25" t="n">
        <f aca="false">(B129-B128)/B128</f>
        <v>0.0739917746769973</v>
      </c>
      <c r="G129" s="25" t="n">
        <f aca="false">(C129-C128)/C128</f>
        <v>0.0136184877260353</v>
      </c>
      <c r="H129" s="25" t="n">
        <f aca="false">(D129-D128)/D128</f>
        <v>0.0290446282012884</v>
      </c>
      <c r="J129" s="24" t="n">
        <f aca="false">MAX($B$2:B129)</f>
        <v>48.47111</v>
      </c>
      <c r="K129" s="25" t="n">
        <f aca="false">(B129-J129)/J129</f>
        <v>-0.00350485062132894</v>
      </c>
    </row>
    <row r="130" customFormat="false" ht="15" hidden="false" customHeight="false" outlineLevel="0" collapsed="false">
      <c r="A130" s="22" t="n">
        <v>45243</v>
      </c>
      <c r="B130" s="23" t="n">
        <v>49.263553</v>
      </c>
      <c r="C130" s="23" t="n">
        <v>436.944</v>
      </c>
      <c r="D130" s="23" t="n">
        <v>380.382446</v>
      </c>
      <c r="F130" s="25" t="n">
        <f aca="false">(B130-B129)/B129</f>
        <v>0.0199234487339928</v>
      </c>
      <c r="G130" s="25" t="n">
        <f aca="false">(C130-C129)/C129</f>
        <v>0.0231035621211164</v>
      </c>
      <c r="H130" s="25" t="n">
        <f aca="false">(D130-D129)/D129</f>
        <v>0.0202172375003064</v>
      </c>
      <c r="J130" s="24" t="n">
        <f aca="false">MAX($B$2:B130)</f>
        <v>49.263553</v>
      </c>
      <c r="K130" s="25" t="n">
        <f aca="false">(B130-J130)/J130</f>
        <v>0</v>
      </c>
    </row>
    <row r="131" customFormat="false" ht="15" hidden="false" customHeight="false" outlineLevel="0" collapsed="false">
      <c r="A131" s="22" t="n">
        <v>45250</v>
      </c>
      <c r="B131" s="23" t="n">
        <v>47.742616</v>
      </c>
      <c r="C131" s="23" t="n">
        <v>441.316</v>
      </c>
      <c r="D131" s="23" t="n">
        <v>383.801592</v>
      </c>
      <c r="F131" s="25" t="n">
        <f aca="false">(B131-B130)/B130</f>
        <v>-0.0308734735393528</v>
      </c>
      <c r="G131" s="25" t="n">
        <f aca="false">(C131-C130)/C130</f>
        <v>0.0100058588743637</v>
      </c>
      <c r="H131" s="25" t="n">
        <f aca="false">(D131-D130)/D130</f>
        <v>0.00898870606663067</v>
      </c>
      <c r="J131" s="24" t="n">
        <f aca="false">MAX($B$2:B131)</f>
        <v>49.263553</v>
      </c>
      <c r="K131" s="25" t="n">
        <f aca="false">(B131-J131)/J131</f>
        <v>-0.0308734735393528</v>
      </c>
    </row>
    <row r="132" customFormat="false" ht="15" hidden="false" customHeight="false" outlineLevel="0" collapsed="false">
      <c r="A132" s="22" t="n">
        <v>45257</v>
      </c>
      <c r="B132" s="23" t="n">
        <v>46.732323</v>
      </c>
      <c r="C132" s="23" t="n">
        <v>444.999</v>
      </c>
      <c r="D132" s="23" t="n">
        <v>384.22529</v>
      </c>
      <c r="F132" s="25" t="n">
        <f aca="false">(B132-B131)/B131</f>
        <v>-0.0211612409340954</v>
      </c>
      <c r="G132" s="25" t="n">
        <f aca="false">(C132-C131)/C131</f>
        <v>0.00834549393178595</v>
      </c>
      <c r="H132" s="25" t="n">
        <f aca="false">(D132-D131)/D131</f>
        <v>0.00110395060581183</v>
      </c>
      <c r="J132" s="24" t="n">
        <f aca="false">MAX($B$2:B132)</f>
        <v>49.263553</v>
      </c>
      <c r="K132" s="25" t="n">
        <f aca="false">(B132-J132)/J132</f>
        <v>-0.0513813934614095</v>
      </c>
    </row>
    <row r="133" customFormat="false" ht="15" hidden="false" customHeight="false" outlineLevel="0" collapsed="false">
      <c r="A133" s="22" t="n">
        <v>45264</v>
      </c>
      <c r="B133" s="23" t="n">
        <v>47.476978</v>
      </c>
      <c r="C133" s="23" t="n">
        <v>446.065</v>
      </c>
      <c r="D133" s="23" t="n">
        <v>386.422608</v>
      </c>
      <c r="F133" s="25" t="n">
        <f aca="false">(B133-B132)/B132</f>
        <v>0.0159344743037919</v>
      </c>
      <c r="G133" s="25" t="n">
        <f aca="false">(C133-C132)/C132</f>
        <v>0.00239551100114826</v>
      </c>
      <c r="H133" s="25" t="n">
        <f aca="false">(D133-D132)/D132</f>
        <v>0.00571882709750848</v>
      </c>
      <c r="J133" s="24" t="n">
        <f aca="false">MAX($B$2:B133)</f>
        <v>49.263553</v>
      </c>
      <c r="K133" s="25" t="n">
        <f aca="false">(B133-J133)/J133</f>
        <v>-0.0362656546514215</v>
      </c>
    </row>
    <row r="134" customFormat="false" ht="15" hidden="false" customHeight="false" outlineLevel="0" collapsed="false">
      <c r="A134" s="22" t="n">
        <v>45271</v>
      </c>
      <c r="B134" s="23" t="n">
        <v>48.860133</v>
      </c>
      <c r="C134" s="23" t="n">
        <v>456.762</v>
      </c>
      <c r="D134" s="23" t="n">
        <v>399.399597</v>
      </c>
      <c r="F134" s="25" t="n">
        <f aca="false">(B134-B133)/B133</f>
        <v>0.0291331727137307</v>
      </c>
      <c r="G134" s="25" t="n">
        <f aca="false">(C134-C133)/C133</f>
        <v>0.0239808099716409</v>
      </c>
      <c r="H134" s="25" t="n">
        <f aca="false">(D134-D133)/D133</f>
        <v>0.0335823751802845</v>
      </c>
      <c r="J134" s="24" t="n">
        <f aca="false">MAX($B$2:B134)</f>
        <v>49.263553</v>
      </c>
      <c r="K134" s="25" t="n">
        <f aca="false">(B134-J134)/J134</f>
        <v>-0.00818901551822712</v>
      </c>
    </row>
    <row r="135" customFormat="false" ht="15" hidden="false" customHeight="false" outlineLevel="0" collapsed="false">
      <c r="A135" s="22" t="n">
        <v>45278</v>
      </c>
      <c r="B135" s="23" t="n">
        <v>48.800169</v>
      </c>
      <c r="C135" s="23" t="n">
        <v>460.967</v>
      </c>
      <c r="D135" s="23" t="n">
        <v>403.199036</v>
      </c>
      <c r="F135" s="25" t="n">
        <f aca="false">(B135-B134)/B134</f>
        <v>-0.00122725822297702</v>
      </c>
      <c r="G135" s="25" t="n">
        <f aca="false">(C135-C134)/C134</f>
        <v>0.00920610733817608</v>
      </c>
      <c r="H135" s="25" t="n">
        <f aca="false">(D135-D134)/D134</f>
        <v>0.00951287639882108</v>
      </c>
      <c r="J135" s="24" t="n">
        <f aca="false">MAX($B$2:B135)</f>
        <v>49.263553</v>
      </c>
      <c r="K135" s="25" t="n">
        <f aca="false">(B135-J135)/J135</f>
        <v>-0.00940622370457131</v>
      </c>
    </row>
    <row r="136" customFormat="false" ht="15" hidden="false" customHeight="false" outlineLevel="0" collapsed="false">
      <c r="A136" s="22" t="n">
        <v>45286</v>
      </c>
      <c r="B136" s="23" t="n">
        <v>49.491746</v>
      </c>
      <c r="C136" s="23" t="n">
        <v>462.582</v>
      </c>
      <c r="D136" s="23" t="n">
        <v>404.537081</v>
      </c>
      <c r="F136" s="25" t="n">
        <f aca="false">(B136-B135)/B135</f>
        <v>0.0141716107581513</v>
      </c>
      <c r="G136" s="25" t="n">
        <f aca="false">(C136-C135)/C135</f>
        <v>0.00350350458926563</v>
      </c>
      <c r="H136" s="25" t="n">
        <f aca="false">(D136-D135)/D135</f>
        <v>0.00331857192237935</v>
      </c>
      <c r="J136" s="24" t="n">
        <f aca="false">MAX($B$2:B136)</f>
        <v>49.491746</v>
      </c>
      <c r="K136" s="25" t="n">
        <f aca="false">(B136-J136)/J136</f>
        <v>0</v>
      </c>
    </row>
    <row r="137" customFormat="false" ht="15" hidden="false" customHeight="false" outlineLevel="0" collapsed="false">
      <c r="A137" s="22" t="n">
        <v>45293</v>
      </c>
      <c r="B137" s="23" t="n">
        <v>49.067006</v>
      </c>
      <c r="C137" s="23" t="n">
        <v>455.39</v>
      </c>
      <c r="D137" s="23" t="n">
        <v>391.922463</v>
      </c>
      <c r="F137" s="25" t="n">
        <f aca="false">(B137-B136)/B136</f>
        <v>-0.00858203709361961</v>
      </c>
      <c r="G137" s="25" t="n">
        <f aca="false">(C137-C136)/C136</f>
        <v>-0.0155475137381048</v>
      </c>
      <c r="H137" s="25" t="n">
        <f aca="false">(D137-D136)/D136</f>
        <v>-0.0311828472406464</v>
      </c>
      <c r="J137" s="24" t="n">
        <f aca="false">MAX($B$2:B137)</f>
        <v>49.491746</v>
      </c>
      <c r="K137" s="25" t="n">
        <f aca="false">(B137-J137)/J137</f>
        <v>-0.00858203709361961</v>
      </c>
    </row>
    <row r="138" customFormat="false" ht="15" hidden="false" customHeight="false" outlineLevel="0" collapsed="false">
      <c r="A138" s="22" t="n">
        <v>45299</v>
      </c>
      <c r="B138" s="23" t="n">
        <v>54.676577</v>
      </c>
      <c r="C138" s="23" t="n">
        <v>463.916</v>
      </c>
      <c r="D138" s="23" t="n">
        <v>404.576594</v>
      </c>
      <c r="F138" s="25" t="n">
        <f aca="false">(B138-B137)/B137</f>
        <v>0.11432470528159</v>
      </c>
      <c r="G138" s="25" t="n">
        <f aca="false">(C138-C137)/C137</f>
        <v>0.0187224137552428</v>
      </c>
      <c r="H138" s="25" t="n">
        <f aca="false">(D138-D137)/D137</f>
        <v>0.0322873328135826</v>
      </c>
      <c r="J138" s="24" t="n">
        <f aca="false">MAX($B$2:B138)</f>
        <v>54.676577</v>
      </c>
      <c r="K138" s="25" t="n">
        <f aca="false">(B138-J138)/J138</f>
        <v>0</v>
      </c>
    </row>
    <row r="139" customFormat="false" ht="15" hidden="false" customHeight="false" outlineLevel="0" collapsed="false">
      <c r="A139" s="22" t="n">
        <v>45307</v>
      </c>
      <c r="B139" s="23" t="n">
        <v>59.454656</v>
      </c>
      <c r="C139" s="23" t="n">
        <v>469.512</v>
      </c>
      <c r="D139" s="23" t="n">
        <v>416.055206</v>
      </c>
      <c r="F139" s="25" t="n">
        <f aca="false">(B139-B138)/B138</f>
        <v>0.0873880418666296</v>
      </c>
      <c r="G139" s="25" t="n">
        <f aca="false">(C139-C138)/C138</f>
        <v>0.0120625285612051</v>
      </c>
      <c r="H139" s="25" t="n">
        <f aca="false">(D139-D138)/D138</f>
        <v>0.0283719131809192</v>
      </c>
      <c r="J139" s="24" t="n">
        <f aca="false">MAX($B$2:B139)</f>
        <v>59.454656</v>
      </c>
      <c r="K139" s="25" t="n">
        <f aca="false">(B139-J139)/J139</f>
        <v>0</v>
      </c>
    </row>
    <row r="140" customFormat="false" ht="15" hidden="false" customHeight="false" outlineLevel="0" collapsed="false">
      <c r="A140" s="22" t="n">
        <v>45313</v>
      </c>
      <c r="B140" s="23" t="n">
        <v>60.993715</v>
      </c>
      <c r="C140" s="23" t="n">
        <v>474.358</v>
      </c>
      <c r="D140" s="23" t="n">
        <v>418.653205</v>
      </c>
      <c r="F140" s="25" t="n">
        <f aca="false">(B140-B139)/B139</f>
        <v>0.0258862653246199</v>
      </c>
      <c r="G140" s="25" t="n">
        <f aca="false">(C140-C139)/C139</f>
        <v>0.0103213549387449</v>
      </c>
      <c r="H140" s="25" t="n">
        <f aca="false">(D140-D139)/D139</f>
        <v>0.00624436123508094</v>
      </c>
      <c r="J140" s="24" t="n">
        <f aca="false">MAX($B$2:B140)</f>
        <v>60.993715</v>
      </c>
      <c r="K140" s="25" t="n">
        <f aca="false">(B140-J140)/J140</f>
        <v>0</v>
      </c>
    </row>
    <row r="141" customFormat="false" ht="15" hidden="false" customHeight="false" outlineLevel="0" collapsed="false">
      <c r="A141" s="22" t="n">
        <v>45320</v>
      </c>
      <c r="B141" s="23" t="n">
        <v>66.119582</v>
      </c>
      <c r="C141" s="23" t="n">
        <v>481.112</v>
      </c>
      <c r="D141" s="23" t="n">
        <v>423.789932</v>
      </c>
      <c r="F141" s="25" t="n">
        <f aca="false">(B141-B140)/B140</f>
        <v>0.0840392653570945</v>
      </c>
      <c r="G141" s="25" t="n">
        <f aca="false">(C141-C140)/C140</f>
        <v>0.014238191408177</v>
      </c>
      <c r="H141" s="25" t="n">
        <f aca="false">(D141-D140)/D140</f>
        <v>0.0122696469026196</v>
      </c>
      <c r="J141" s="24" t="n">
        <f aca="false">MAX($B$2:B141)</f>
        <v>66.119582</v>
      </c>
      <c r="K141" s="25" t="n">
        <f aca="false">(B141-J141)/J141</f>
        <v>0</v>
      </c>
    </row>
    <row r="142" customFormat="false" ht="15" hidden="false" customHeight="false" outlineLevel="0" collapsed="false">
      <c r="A142" s="22" t="n">
        <v>45327</v>
      </c>
      <c r="B142" s="23" t="n">
        <v>72.088933</v>
      </c>
      <c r="C142" s="23" t="n">
        <v>487.779</v>
      </c>
      <c r="D142" s="23" t="n">
        <v>431.732104</v>
      </c>
      <c r="F142" s="25" t="n">
        <f aca="false">(B142-B141)/B141</f>
        <v>0.0902811363810498</v>
      </c>
      <c r="G142" s="25" t="n">
        <f aca="false">(C142-C141)/C141</f>
        <v>0.0138574801709373</v>
      </c>
      <c r="H142" s="25" t="n">
        <f aca="false">(D142-D141)/D141</f>
        <v>0.0187408227527217</v>
      </c>
      <c r="J142" s="24" t="n">
        <f aca="false">MAX($B$2:B142)</f>
        <v>72.088933</v>
      </c>
      <c r="K142" s="25" t="n">
        <f aca="false">(B142-J142)/J142</f>
        <v>0</v>
      </c>
    </row>
    <row r="143" customFormat="false" ht="15" hidden="false" customHeight="false" outlineLevel="0" collapsed="false">
      <c r="A143" s="22" t="n">
        <v>45334</v>
      </c>
      <c r="B143" s="23" t="n">
        <v>72.56864</v>
      </c>
      <c r="C143" s="23" t="n">
        <v>486.134</v>
      </c>
      <c r="D143" s="23" t="n">
        <v>425.330951</v>
      </c>
      <c r="F143" s="25" t="n">
        <f aca="false">(B143-B142)/B142</f>
        <v>0.00665437786407526</v>
      </c>
      <c r="G143" s="25" t="n">
        <f aca="false">(C143-C142)/C142</f>
        <v>-0.0033724289073535</v>
      </c>
      <c r="H143" s="25" t="n">
        <f aca="false">(D143-D142)/D142</f>
        <v>-0.0148266782587935</v>
      </c>
      <c r="J143" s="24" t="n">
        <f aca="false">MAX($B$2:B143)</f>
        <v>72.56864</v>
      </c>
      <c r="K143" s="25" t="n">
        <f aca="false">(B143-J143)/J143</f>
        <v>0</v>
      </c>
    </row>
    <row r="144" customFormat="false" ht="15" hidden="false" customHeight="false" outlineLevel="0" collapsed="false">
      <c r="A144" s="22" t="n">
        <v>45342</v>
      </c>
      <c r="B144" s="23" t="n">
        <v>78.76885</v>
      </c>
      <c r="C144" s="23" t="n">
        <v>494.251</v>
      </c>
      <c r="D144" s="23" t="n">
        <v>431.465389</v>
      </c>
      <c r="F144" s="25" t="n">
        <f aca="false">(B144-B143)/B143</f>
        <v>0.0854392475868364</v>
      </c>
      <c r="G144" s="25" t="n">
        <f aca="false">(C144-C143)/C143</f>
        <v>0.0166970423792616</v>
      </c>
      <c r="H144" s="25" t="n">
        <f aca="false">(D144-D143)/D143</f>
        <v>0.0144227406577801</v>
      </c>
      <c r="J144" s="24" t="n">
        <f aca="false">MAX($B$2:B144)</f>
        <v>78.76885</v>
      </c>
      <c r="K144" s="25" t="n">
        <f aca="false">(B144-J144)/J144</f>
        <v>0</v>
      </c>
    </row>
    <row r="145" customFormat="false" ht="15" hidden="false" customHeight="false" outlineLevel="0" collapsed="false">
      <c r="A145" s="22" t="n">
        <v>45348</v>
      </c>
      <c r="B145" s="23" t="n">
        <v>82.228735</v>
      </c>
      <c r="C145" s="23" t="n">
        <v>499.117</v>
      </c>
      <c r="D145" s="23" t="n">
        <v>440.187949</v>
      </c>
      <c r="F145" s="25" t="n">
        <f aca="false">(B145-B144)/B144</f>
        <v>0.0439245336195717</v>
      </c>
      <c r="G145" s="25" t="n">
        <f aca="false">(C145-C144)/C144</f>
        <v>0.00984520011087493</v>
      </c>
      <c r="H145" s="25" t="n">
        <f aca="false">(D145-D144)/D144</f>
        <v>0.0202161290856171</v>
      </c>
      <c r="J145" s="24" t="n">
        <f aca="false">MAX($B$2:B145)</f>
        <v>82.228735</v>
      </c>
      <c r="K145" s="25" t="n">
        <f aca="false">(B145-J145)/J145</f>
        <v>0</v>
      </c>
    </row>
    <row r="146" customFormat="false" ht="15" hidden="false" customHeight="false" outlineLevel="0" collapsed="false">
      <c r="A146" s="22" t="n">
        <v>45355</v>
      </c>
      <c r="B146" s="23" t="n">
        <v>87.478633</v>
      </c>
      <c r="C146" s="23" t="n">
        <v>498.017</v>
      </c>
      <c r="D146" s="23" t="n">
        <v>433.678134</v>
      </c>
      <c r="F146" s="25" t="n">
        <f aca="false">(B146-B145)/B145</f>
        <v>0.0638450536786198</v>
      </c>
      <c r="G146" s="25" t="n">
        <f aca="false">(C146-C145)/C145</f>
        <v>-0.00220389207340167</v>
      </c>
      <c r="H146" s="25" t="n">
        <f aca="false">(D146-D145)/D145</f>
        <v>-0.0147887169896148</v>
      </c>
      <c r="J146" s="24" t="n">
        <f aca="false">MAX($B$2:B146)</f>
        <v>87.478633</v>
      </c>
      <c r="K146" s="25" t="n">
        <f aca="false">(B146-J146)/J146</f>
        <v>0</v>
      </c>
    </row>
    <row r="147" customFormat="false" ht="15" hidden="false" customHeight="false" outlineLevel="0" collapsed="false">
      <c r="A147" s="22" t="n">
        <v>45362</v>
      </c>
      <c r="B147" s="23" t="n">
        <v>87.786959</v>
      </c>
      <c r="C147" s="23" t="n">
        <v>497.73</v>
      </c>
      <c r="D147" s="23" t="n">
        <v>428.640189</v>
      </c>
      <c r="F147" s="25" t="n">
        <f aca="false">(B147-B146)/B146</f>
        <v>0.00352458639814358</v>
      </c>
      <c r="G147" s="25" t="n">
        <f aca="false">(C147-C146)/C146</f>
        <v>-0.000576285548485248</v>
      </c>
      <c r="H147" s="25" t="n">
        <f aca="false">(D147-D146)/D146</f>
        <v>-0.011616783519918</v>
      </c>
      <c r="J147" s="24" t="n">
        <f aca="false">MAX($B$2:B147)</f>
        <v>87.786959</v>
      </c>
      <c r="K147" s="25" t="n">
        <f aca="false">(B147-J147)/J147</f>
        <v>0</v>
      </c>
    </row>
    <row r="148" customFormat="false" ht="15" hidden="false" customHeight="false" outlineLevel="0" collapsed="false">
      <c r="A148" s="22" t="n">
        <v>45369</v>
      </c>
      <c r="B148" s="23" t="n">
        <v>94.23582</v>
      </c>
      <c r="C148" s="23" t="n">
        <v>508.84</v>
      </c>
      <c r="D148" s="23" t="n">
        <v>441.532089</v>
      </c>
      <c r="F148" s="25" t="n">
        <f aca="false">(B148-B147)/B147</f>
        <v>0.0734603530348968</v>
      </c>
      <c r="G148" s="25" t="n">
        <f aca="false">(C148-C147)/C147</f>
        <v>0.0223213388785083</v>
      </c>
      <c r="H148" s="25" t="n">
        <f aca="false">(D148-D147)/D147</f>
        <v>0.0300762745324377</v>
      </c>
      <c r="J148" s="24" t="n">
        <f aca="false">MAX($B$2:B148)</f>
        <v>94.23582</v>
      </c>
      <c r="K148" s="25" t="n">
        <f aca="false">(B148-J148)/J148</f>
        <v>0</v>
      </c>
    </row>
    <row r="149" customFormat="false" ht="15" hidden="false" customHeight="false" outlineLevel="0" collapsed="false">
      <c r="A149" s="22" t="n">
        <v>45376</v>
      </c>
      <c r="B149" s="23" t="n">
        <v>90.305038</v>
      </c>
      <c r="C149" s="23" t="n">
        <v>510.656</v>
      </c>
      <c r="D149" s="23" t="n">
        <v>439.187829</v>
      </c>
      <c r="F149" s="25" t="n">
        <f aca="false">(B149-B148)/B148</f>
        <v>-0.0417121854513497</v>
      </c>
      <c r="G149" s="25" t="n">
        <f aca="false">(C149-C148)/C148</f>
        <v>0.00356890181589504</v>
      </c>
      <c r="H149" s="25" t="n">
        <f aca="false">(D149-D148)/D148</f>
        <v>-0.00530937627955726</v>
      </c>
      <c r="J149" s="24" t="n">
        <f aca="false">MAX($B$2:B149)</f>
        <v>94.23582</v>
      </c>
      <c r="K149" s="25" t="n">
        <f aca="false">(B149-J149)/J149</f>
        <v>-0.0417121854513497</v>
      </c>
    </row>
    <row r="150" customFormat="false" ht="15" hidden="false" customHeight="false" outlineLevel="0" collapsed="false">
      <c r="A150" s="22" t="n">
        <v>45383</v>
      </c>
      <c r="B150" s="23" t="n">
        <v>87.958363</v>
      </c>
      <c r="C150" s="23" t="n">
        <v>506.126</v>
      </c>
      <c r="D150" s="23" t="n">
        <v>435.686275</v>
      </c>
      <c r="F150" s="25" t="n">
        <f aca="false">(B150-B149)/B149</f>
        <v>-0.0259860917172749</v>
      </c>
      <c r="G150" s="25" t="n">
        <f aca="false">(C150-C149)/C149</f>
        <v>-0.00887094247399429</v>
      </c>
      <c r="H150" s="25" t="n">
        <f aca="false">(D150-D149)/D149</f>
        <v>-0.00797279379980268</v>
      </c>
      <c r="J150" s="24" t="n">
        <f aca="false">MAX($B$2:B150)</f>
        <v>94.23582</v>
      </c>
      <c r="K150" s="25" t="n">
        <f aca="false">(B150-J150)/J150</f>
        <v>-0.0666143404917578</v>
      </c>
    </row>
    <row r="151" customFormat="false" ht="15" hidden="false" customHeight="false" outlineLevel="0" collapsed="false">
      <c r="A151" s="22" t="n">
        <v>45390</v>
      </c>
      <c r="B151" s="23" t="n">
        <v>88.136262</v>
      </c>
      <c r="C151" s="23" t="n">
        <v>498.726</v>
      </c>
      <c r="D151" s="23" t="n">
        <v>433.510168</v>
      </c>
      <c r="F151" s="25" t="n">
        <f aca="false">(B151-B150)/B150</f>
        <v>0.0020225365040047</v>
      </c>
      <c r="G151" s="25" t="n">
        <f aca="false">(C151-C150)/C150</f>
        <v>-0.0146208651600589</v>
      </c>
      <c r="H151" s="25" t="n">
        <f aca="false">(D151-D150)/D150</f>
        <v>-0.00499466502588359</v>
      </c>
      <c r="J151" s="24" t="n">
        <f aca="false">MAX($B$2:B151)</f>
        <v>94.23582</v>
      </c>
      <c r="K151" s="25" t="n">
        <f aca="false">(B151-J151)/J151</f>
        <v>-0.0647265339230879</v>
      </c>
    </row>
    <row r="152" customFormat="false" ht="15" hidden="false" customHeight="false" outlineLevel="0" collapsed="false">
      <c r="A152" s="22" t="n">
        <v>45397</v>
      </c>
      <c r="B152" s="23" t="n">
        <v>76.157022</v>
      </c>
      <c r="C152" s="23" t="n">
        <v>483.408</v>
      </c>
      <c r="D152" s="23" t="n">
        <v>410.146693</v>
      </c>
      <c r="F152" s="25" t="n">
        <f aca="false">(B152-B151)/B151</f>
        <v>-0.13591726864931</v>
      </c>
      <c r="G152" s="25" t="n">
        <f aca="false">(C152-C151)/C151</f>
        <v>-0.0307142599343126</v>
      </c>
      <c r="H152" s="25" t="n">
        <f aca="false">(D152-D151)/D151</f>
        <v>-0.0538937185897794</v>
      </c>
      <c r="J152" s="24" t="n">
        <f aca="false">MAX($B$2:B152)</f>
        <v>94.23582</v>
      </c>
      <c r="K152" s="25" t="n">
        <f aca="false">(B152-J152)/J152</f>
        <v>-0.191846348872435</v>
      </c>
    </row>
    <row r="153" customFormat="false" ht="15" hidden="false" customHeight="false" outlineLevel="0" collapsed="false">
      <c r="A153" s="22" t="n">
        <v>45404</v>
      </c>
      <c r="B153" s="23" t="n">
        <v>87.685517</v>
      </c>
      <c r="C153" s="23" t="n">
        <v>496.197</v>
      </c>
      <c r="D153" s="23" t="n">
        <v>426.319124</v>
      </c>
      <c r="F153" s="25" t="n">
        <f aca="false">(B153-B152)/B152</f>
        <v>0.151377964857922</v>
      </c>
      <c r="G153" s="25" t="n">
        <f aca="false">(C153-C152)/C152</f>
        <v>0.0264559130175752</v>
      </c>
      <c r="H153" s="25" t="n">
        <f aca="false">(D153-D152)/D152</f>
        <v>0.0394308457827794</v>
      </c>
      <c r="J153" s="24" t="n">
        <f aca="false">MAX($B$2:B153)</f>
        <v>94.23582</v>
      </c>
      <c r="K153" s="25" t="n">
        <f aca="false">(B153-J153)/J153</f>
        <v>-0.0695096938722452</v>
      </c>
    </row>
    <row r="154" customFormat="false" ht="15" hidden="false" customHeight="false" outlineLevel="0" collapsed="false">
      <c r="A154" s="22" t="n">
        <v>45411</v>
      </c>
      <c r="B154" s="23" t="n">
        <v>88.738922</v>
      </c>
      <c r="C154" s="23" t="n">
        <v>499.155</v>
      </c>
      <c r="D154" s="23" t="n">
        <v>430.750469</v>
      </c>
      <c r="F154" s="25" t="n">
        <f aca="false">(B154-B153)/B153</f>
        <v>0.0120134434515565</v>
      </c>
      <c r="G154" s="25" t="n">
        <f aca="false">(C154-C153)/C153</f>
        <v>0.00596134196700095</v>
      </c>
      <c r="H154" s="25" t="n">
        <f aca="false">(D154-D153)/D153</f>
        <v>0.0103944316605417</v>
      </c>
      <c r="J154" s="24" t="n">
        <f aca="false">MAX($B$2:B154)</f>
        <v>94.23582</v>
      </c>
      <c r="K154" s="25" t="n">
        <f aca="false">(B154-J154)/J154</f>
        <v>-0.0583313011973579</v>
      </c>
    </row>
    <row r="155" customFormat="false" ht="15" hidden="false" customHeight="false" outlineLevel="0" collapsed="false">
      <c r="A155" s="22" t="n">
        <v>45418</v>
      </c>
      <c r="B155" s="23" t="n">
        <v>89.827308</v>
      </c>
      <c r="C155" s="23" t="n">
        <v>508.479</v>
      </c>
      <c r="D155" s="23" t="n">
        <v>437.259007</v>
      </c>
      <c r="F155" s="25" t="n">
        <f aca="false">(B155-B154)/B154</f>
        <v>0.0122650351781375</v>
      </c>
      <c r="G155" s="25" t="n">
        <f aca="false">(C155-C154)/C154</f>
        <v>0.0186795684707155</v>
      </c>
      <c r="H155" s="25" t="n">
        <f aca="false">(D155-D154)/D154</f>
        <v>0.0151097641637158</v>
      </c>
      <c r="J155" s="24" t="n">
        <f aca="false">MAX($B$2:B155)</f>
        <v>94.23582</v>
      </c>
      <c r="K155" s="25" t="n">
        <f aca="false">(B155-J155)/J155</f>
        <v>-0.0467817014803925</v>
      </c>
    </row>
    <row r="156" customFormat="false" ht="15" hidden="false" customHeight="false" outlineLevel="0" collapsed="false">
      <c r="A156" s="22" t="n">
        <v>45425</v>
      </c>
      <c r="B156" s="23" t="n">
        <v>92.426841</v>
      </c>
      <c r="C156" s="23" t="n">
        <v>516.884</v>
      </c>
      <c r="D156" s="23" t="n">
        <v>446.85366</v>
      </c>
      <c r="F156" s="25" t="n">
        <f aca="false">(B156-B155)/B155</f>
        <v>0.0289392285918219</v>
      </c>
      <c r="G156" s="25" t="n">
        <f aca="false">(C156-C155)/C155</f>
        <v>0.0165296895250345</v>
      </c>
      <c r="H156" s="25" t="n">
        <f aca="false">(D156-D155)/D155</f>
        <v>0.0219427223828462</v>
      </c>
      <c r="J156" s="24" t="n">
        <f aca="false">MAX($B$2:B156)</f>
        <v>94.23582</v>
      </c>
      <c r="K156" s="25" t="n">
        <f aca="false">(B156-J156)/J156</f>
        <v>-0.019196299241626</v>
      </c>
    </row>
    <row r="157" customFormat="false" ht="15" hidden="false" customHeight="false" outlineLevel="0" collapsed="false">
      <c r="A157" s="22" t="n">
        <v>45432</v>
      </c>
      <c r="B157" s="23" t="n">
        <v>106.40895</v>
      </c>
      <c r="C157" s="23" t="n">
        <v>516.875</v>
      </c>
      <c r="D157" s="23" t="n">
        <v>452.976433</v>
      </c>
      <c r="F157" s="25" t="n">
        <f aca="false">(B157-B156)/B156</f>
        <v>0.151277581801157</v>
      </c>
      <c r="G157" s="25" t="n">
        <f aca="false">(C157-C156)/C156</f>
        <v>-1.74120305523378E-005</v>
      </c>
      <c r="H157" s="25" t="n">
        <f aca="false">(D157-D156)/D156</f>
        <v>0.0137019645312964</v>
      </c>
      <c r="J157" s="24" t="n">
        <f aca="false">MAX($B$2:B157)</f>
        <v>106.40895</v>
      </c>
      <c r="K157" s="25" t="n">
        <f aca="false">(B157-J157)/J157</f>
        <v>0</v>
      </c>
    </row>
    <row r="158" customFormat="false" ht="15" hidden="false" customHeight="false" outlineLevel="0" collapsed="false">
      <c r="A158" s="22" t="n">
        <v>45440</v>
      </c>
      <c r="B158" s="23" t="n">
        <v>109.571166</v>
      </c>
      <c r="C158" s="23" t="n">
        <v>514.854</v>
      </c>
      <c r="D158" s="23" t="n">
        <v>445.815063</v>
      </c>
      <c r="F158" s="25" t="n">
        <f aca="false">(B158-B157)/B157</f>
        <v>0.0297175754483058</v>
      </c>
      <c r="G158" s="25" t="n">
        <f aca="false">(C158-C157)/C157</f>
        <v>-0.0039100362756952</v>
      </c>
      <c r="H158" s="25" t="n">
        <f aca="false">(D158-D157)/D157</f>
        <v>-0.0158095862792932</v>
      </c>
      <c r="J158" s="24" t="n">
        <f aca="false">MAX($B$2:B158)</f>
        <v>109.571166</v>
      </c>
      <c r="K158" s="25" t="n">
        <f aca="false">(B158-J158)/J158</f>
        <v>0</v>
      </c>
    </row>
    <row r="159" customFormat="false" ht="15" hidden="false" customHeight="false" outlineLevel="0" collapsed="false">
      <c r="A159" s="22" t="n">
        <v>45446</v>
      </c>
      <c r="B159" s="23" t="n">
        <v>120.819818</v>
      </c>
      <c r="C159" s="23" t="n">
        <v>521.336</v>
      </c>
      <c r="D159" s="23" t="n">
        <v>457.932022</v>
      </c>
      <c r="F159" s="25" t="n">
        <f aca="false">(B159-B158)/B158</f>
        <v>0.102660694511547</v>
      </c>
      <c r="G159" s="25" t="n">
        <f aca="false">(C159-C158)/C158</f>
        <v>0.0125899769643432</v>
      </c>
      <c r="H159" s="25" t="n">
        <f aca="false">(D159-D158)/D158</f>
        <v>0.02717933960881</v>
      </c>
      <c r="J159" s="24" t="n">
        <f aca="false">MAX($B$2:B159)</f>
        <v>120.819818</v>
      </c>
      <c r="K159" s="25" t="n">
        <f aca="false">(B159-J159)/J159</f>
        <v>0</v>
      </c>
    </row>
    <row r="160" customFormat="false" ht="15" hidden="false" customHeight="false" outlineLevel="0" collapsed="false">
      <c r="A160" s="22" t="n">
        <v>45453</v>
      </c>
      <c r="B160" s="23" t="n">
        <v>131.816442</v>
      </c>
      <c r="C160" s="23" t="n">
        <v>529.898</v>
      </c>
      <c r="D160" s="23" t="n">
        <v>473.985756</v>
      </c>
      <c r="F160" s="25" t="n">
        <f aca="false">(B160-B159)/B159</f>
        <v>0.091016723762984</v>
      </c>
      <c r="G160" s="25" t="n">
        <f aca="false">(C160-C159)/C159</f>
        <v>0.0164231896512039</v>
      </c>
      <c r="H160" s="25" t="n">
        <f aca="false">(D160-D159)/D159</f>
        <v>0.0350570242497695</v>
      </c>
      <c r="J160" s="24" t="n">
        <f aca="false">MAX($B$2:B160)</f>
        <v>131.816442</v>
      </c>
      <c r="K160" s="25" t="n">
        <f aca="false">(B160-J160)/J160</f>
        <v>0</v>
      </c>
    </row>
    <row r="161" customFormat="false" ht="15" hidden="false" customHeight="false" outlineLevel="0" collapsed="false">
      <c r="A161" s="22" t="n">
        <v>45460</v>
      </c>
      <c r="B161" s="23" t="n">
        <v>126.509001</v>
      </c>
      <c r="C161" s="23" t="n">
        <v>533.304</v>
      </c>
      <c r="D161" s="23" t="n">
        <v>474.965004</v>
      </c>
      <c r="F161" s="25" t="n">
        <f aca="false">(B161-B160)/B160</f>
        <v>-0.0402638769448807</v>
      </c>
      <c r="G161" s="25" t="n">
        <f aca="false">(C161-C160)/C160</f>
        <v>0.00642765211418037</v>
      </c>
      <c r="H161" s="25" t="n">
        <f aca="false">(D161-D160)/D160</f>
        <v>0.00206598613482394</v>
      </c>
      <c r="J161" s="24" t="n">
        <f aca="false">MAX($B$2:B161)</f>
        <v>131.816442</v>
      </c>
      <c r="K161" s="25" t="n">
        <f aca="false">(B161-J161)/J161</f>
        <v>-0.0402638769448807</v>
      </c>
    </row>
    <row r="162" customFormat="false" ht="15" hidden="false" customHeight="false" outlineLevel="0" collapsed="false">
      <c r="A162" s="22" t="n">
        <v>45467</v>
      </c>
      <c r="B162" s="23" t="n">
        <v>123.480461</v>
      </c>
      <c r="C162" s="23" t="n">
        <v>533.02</v>
      </c>
      <c r="D162" s="23" t="n">
        <v>474.65937</v>
      </c>
      <c r="F162" s="25" t="n">
        <f aca="false">(B162-B161)/B161</f>
        <v>-0.0239393242857083</v>
      </c>
      <c r="G162" s="25" t="n">
        <f aca="false">(C162-C161)/C161</f>
        <v>-0.000532529289110886</v>
      </c>
      <c r="H162" s="25" t="n">
        <f aca="false">(D162-D161)/D161</f>
        <v>-0.000643487409442902</v>
      </c>
      <c r="J162" s="24" t="n">
        <f aca="false">MAX($B$2:B162)</f>
        <v>131.816442</v>
      </c>
      <c r="K162" s="25" t="n">
        <f aca="false">(B162-J162)/J162</f>
        <v>-0.0632393112234056</v>
      </c>
    </row>
    <row r="163" customFormat="false" ht="15" hidden="false" customHeight="false" outlineLevel="0" collapsed="false">
      <c r="A163" s="22" t="n">
        <v>45474</v>
      </c>
      <c r="B163" s="23" t="n">
        <v>125.769357</v>
      </c>
      <c r="C163" s="23" t="n">
        <v>543.226</v>
      </c>
      <c r="D163" s="23" t="n">
        <v>491.550986</v>
      </c>
      <c r="F163" s="25" t="n">
        <f aca="false">(B163-B162)/B162</f>
        <v>0.0185365035201804</v>
      </c>
      <c r="G163" s="25" t="n">
        <f aca="false">(C163-C162)/C162</f>
        <v>0.019147499155754</v>
      </c>
      <c r="H163" s="25" t="n">
        <f aca="false">(D163-D162)/D162</f>
        <v>0.0355868167102653</v>
      </c>
      <c r="J163" s="24" t="n">
        <f aca="false">MAX($B$2:B163)</f>
        <v>131.816442</v>
      </c>
      <c r="K163" s="25" t="n">
        <f aca="false">(B163-J163)/J163</f>
        <v>-0.0458750434183317</v>
      </c>
    </row>
    <row r="164" customFormat="false" ht="15" hidden="false" customHeight="false" outlineLevel="0" collapsed="false">
      <c r="A164" s="22" t="n">
        <v>45481</v>
      </c>
      <c r="B164" s="23" t="n">
        <v>129.177714</v>
      </c>
      <c r="C164" s="23" t="n">
        <v>548.466</v>
      </c>
      <c r="D164" s="23" t="n">
        <v>490.223434</v>
      </c>
      <c r="F164" s="25" t="n">
        <f aca="false">(B164-B163)/B163</f>
        <v>0.0271000590390234</v>
      </c>
      <c r="G164" s="25" t="n">
        <f aca="false">(C164-C163)/C163</f>
        <v>0.00964607732325038</v>
      </c>
      <c r="H164" s="25" t="n">
        <f aca="false">(D164-D163)/D163</f>
        <v>-0.0027007412004256</v>
      </c>
      <c r="J164" s="24" t="n">
        <f aca="false">MAX($B$2:B164)</f>
        <v>131.816442</v>
      </c>
      <c r="K164" s="25" t="n">
        <f aca="false">(B164-J164)/J164</f>
        <v>-0.0200182007643628</v>
      </c>
    </row>
    <row r="165" customFormat="false" ht="15" hidden="false" customHeight="false" outlineLevel="0" collapsed="false">
      <c r="A165" s="22" t="n">
        <v>45488</v>
      </c>
      <c r="B165" s="23" t="n">
        <v>117.873165</v>
      </c>
      <c r="C165" s="23" t="n">
        <v>537.692</v>
      </c>
      <c r="D165" s="23" t="n">
        <v>470.82532</v>
      </c>
      <c r="F165" s="25" t="n">
        <f aca="false">(B165-B164)/B164</f>
        <v>-0.0875116043623439</v>
      </c>
      <c r="G165" s="25" t="n">
        <f aca="false">(C165-C164)/C164</f>
        <v>-0.0196438794747532</v>
      </c>
      <c r="H165" s="25" t="n">
        <f aca="false">(D165-D164)/D164</f>
        <v>-0.0395699443450107</v>
      </c>
      <c r="J165" s="24" t="n">
        <f aca="false">MAX($B$2:B165)</f>
        <v>131.816442</v>
      </c>
      <c r="K165" s="25" t="n">
        <f aca="false">(B165-J165)/J165</f>
        <v>-0.10577798026137</v>
      </c>
    </row>
    <row r="166" customFormat="false" ht="15" hidden="false" customHeight="false" outlineLevel="0" collapsed="false">
      <c r="A166" s="22" t="n">
        <v>45495</v>
      </c>
      <c r="B166" s="23" t="n">
        <v>113.005512</v>
      </c>
      <c r="C166" s="23" t="n">
        <v>533.236</v>
      </c>
      <c r="D166" s="23" t="n">
        <v>458.669301</v>
      </c>
      <c r="F166" s="25" t="n">
        <f aca="false">(B166-B165)/B165</f>
        <v>-0.041295684221256</v>
      </c>
      <c r="G166" s="25" t="n">
        <f aca="false">(C166-C165)/C165</f>
        <v>-0.00828727226739475</v>
      </c>
      <c r="H166" s="25" t="n">
        <f aca="false">(D166-D165)/D165</f>
        <v>-0.0258185328690478</v>
      </c>
      <c r="J166" s="24" t="n">
        <f aca="false">MAX($B$2:B166)</f>
        <v>131.816442</v>
      </c>
      <c r="K166" s="25" t="n">
        <f aca="false">(B166-J166)/J166</f>
        <v>-0.14270549041219</v>
      </c>
    </row>
    <row r="167" customFormat="false" ht="15" hidden="false" customHeight="false" outlineLevel="0" collapsed="false">
      <c r="A167" s="22" t="n">
        <v>45502</v>
      </c>
      <c r="B167" s="23" t="n">
        <v>107.218302</v>
      </c>
      <c r="C167" s="23" t="n">
        <v>521.933</v>
      </c>
      <c r="D167" s="23" t="n">
        <v>444.581395</v>
      </c>
      <c r="F167" s="25" t="n">
        <f aca="false">(B167-B166)/B166</f>
        <v>-0.0512117497419064</v>
      </c>
      <c r="G167" s="25" t="n">
        <f aca="false">(C167-C166)/C166</f>
        <v>-0.0211969934513049</v>
      </c>
      <c r="H167" s="25" t="n">
        <f aca="false">(D167-D166)/D166</f>
        <v>-0.0307147349283793</v>
      </c>
      <c r="J167" s="24" t="n">
        <f aca="false">MAX($B$2:B167)</f>
        <v>131.816442</v>
      </c>
      <c r="K167" s="25" t="n">
        <f aca="false">(B167-J167)/J167</f>
        <v>-0.186609042292311</v>
      </c>
    </row>
    <row r="168" customFormat="false" ht="15" hidden="false" customHeight="false" outlineLevel="0" collapsed="false">
      <c r="A168" s="22" t="n">
        <v>45509</v>
      </c>
      <c r="B168" s="23" t="n">
        <v>104.699517</v>
      </c>
      <c r="C168" s="23" t="n">
        <v>522.021</v>
      </c>
      <c r="D168" s="23" t="n">
        <v>446.225975</v>
      </c>
      <c r="F168" s="25" t="n">
        <f aca="false">(B168-B167)/B167</f>
        <v>-0.0234921179781414</v>
      </c>
      <c r="G168" s="25" t="n">
        <f aca="false">(C168-C167)/C167</f>
        <v>0.000168604016224238</v>
      </c>
      <c r="H168" s="25" t="n">
        <f aca="false">(D168-D167)/D167</f>
        <v>0.00369916514387657</v>
      </c>
      <c r="J168" s="24" t="n">
        <f aca="false">MAX($B$2:B168)</f>
        <v>131.816442</v>
      </c>
      <c r="K168" s="25" t="n">
        <f aca="false">(B168-J168)/J168</f>
        <v>-0.205717318633134</v>
      </c>
    </row>
    <row r="169" customFormat="false" ht="15" hidden="false" customHeight="false" outlineLevel="0" collapsed="false">
      <c r="A169" s="22" t="n">
        <v>45516</v>
      </c>
      <c r="B169" s="23" t="n">
        <v>124.51996</v>
      </c>
      <c r="C169" s="23" t="n">
        <v>542.903</v>
      </c>
      <c r="D169" s="23" t="n">
        <v>470.617271</v>
      </c>
      <c r="F169" s="25" t="n">
        <f aca="false">(B169-B168)/B168</f>
        <v>0.189307874266507</v>
      </c>
      <c r="G169" s="25" t="n">
        <f aca="false">(C169-C168)/C168</f>
        <v>0.0400022221328262</v>
      </c>
      <c r="H169" s="25" t="n">
        <f aca="false">(D169-D168)/D168</f>
        <v>0.0546613092167035</v>
      </c>
      <c r="J169" s="24" t="n">
        <f aca="false">MAX($B$2:B169)</f>
        <v>131.816442</v>
      </c>
      <c r="K169" s="25" t="n">
        <f aca="false">(B169-J169)/J169</f>
        <v>-0.0553533526568711</v>
      </c>
    </row>
    <row r="170" customFormat="false" ht="15" hidden="false" customHeight="false" outlineLevel="0" collapsed="false">
      <c r="A170" s="22" t="n">
        <v>45523</v>
      </c>
      <c r="B170" s="23" t="n">
        <v>129.307651</v>
      </c>
      <c r="C170" s="23" t="n">
        <v>550.562</v>
      </c>
      <c r="D170" s="23" t="n">
        <v>475.541103</v>
      </c>
      <c r="F170" s="25" t="n">
        <f aca="false">(B170-B169)/B169</f>
        <v>0.0384491851748105</v>
      </c>
      <c r="G170" s="25" t="n">
        <f aca="false">(C170-C169)/C169</f>
        <v>0.01410749249866</v>
      </c>
      <c r="H170" s="25" t="n">
        <f aca="false">(D170-D169)/D169</f>
        <v>0.0104624974547524</v>
      </c>
      <c r="J170" s="24" t="n">
        <f aca="false">MAX($B$2:B170)</f>
        <v>131.816442</v>
      </c>
      <c r="K170" s="25" t="n">
        <f aca="false">(B170-J170)/J170</f>
        <v>-0.0190324587884113</v>
      </c>
    </row>
    <row r="171" customFormat="false" ht="15" hidden="false" customHeight="false" outlineLevel="0" collapsed="false">
      <c r="A171" s="22" t="n">
        <v>45530</v>
      </c>
      <c r="B171" s="23" t="n">
        <v>119.312471</v>
      </c>
      <c r="C171" s="23" t="n">
        <v>552.08</v>
      </c>
      <c r="D171" s="23" t="n">
        <v>471.845752</v>
      </c>
      <c r="F171" s="25" t="n">
        <f aca="false">(B171-B170)/B170</f>
        <v>-0.0772976689523189</v>
      </c>
      <c r="G171" s="25" t="n">
        <f aca="false">(C171-C170)/C170</f>
        <v>0.00275718266062683</v>
      </c>
      <c r="H171" s="25" t="n">
        <f aca="false">(D171-D170)/D170</f>
        <v>-0.00777083405974271</v>
      </c>
      <c r="J171" s="24" t="n">
        <f aca="false">MAX($B$2:B171)</f>
        <v>131.816442</v>
      </c>
      <c r="K171" s="25" t="n">
        <f aca="false">(B171-J171)/J171</f>
        <v>-0.0948589630419549</v>
      </c>
    </row>
    <row r="172" customFormat="false" ht="15" hidden="false" customHeight="false" outlineLevel="0" collapsed="false">
      <c r="A172" s="22" t="n">
        <v>45538</v>
      </c>
      <c r="B172" s="23" t="n">
        <v>102.780442</v>
      </c>
      <c r="C172" s="23" t="n">
        <v>529.24</v>
      </c>
      <c r="D172" s="23" t="n">
        <v>444.521953</v>
      </c>
      <c r="F172" s="25" t="n">
        <f aca="false">(B172-B171)/B171</f>
        <v>-0.138560779618754</v>
      </c>
      <c r="G172" s="25" t="n">
        <f aca="false">(C172-C171)/C171</f>
        <v>-0.0413708158237937</v>
      </c>
      <c r="H172" s="25" t="n">
        <f aca="false">(D172-D171)/D171</f>
        <v>-0.0579083289066042</v>
      </c>
      <c r="J172" s="24" t="n">
        <f aca="false">MAX($B$2:B172)</f>
        <v>131.816442</v>
      </c>
      <c r="K172" s="25" t="n">
        <f aca="false">(B172-J172)/J172</f>
        <v>-0.220276010787789</v>
      </c>
    </row>
    <row r="173" customFormat="false" ht="15" hidden="false" customHeight="false" outlineLevel="0" collapsed="false">
      <c r="A173" s="22" t="n">
        <v>45544</v>
      </c>
      <c r="B173" s="23" t="n">
        <v>119.052784</v>
      </c>
      <c r="C173" s="23" t="n">
        <v>550.444</v>
      </c>
      <c r="D173" s="23" t="n">
        <v>470.924391</v>
      </c>
      <c r="F173" s="25" t="n">
        <f aca="false">(B173-B172)/B172</f>
        <v>0.158321385697096</v>
      </c>
      <c r="G173" s="25" t="n">
        <f aca="false">(C173-C172)/C172</f>
        <v>0.0400649988662988</v>
      </c>
      <c r="H173" s="25" t="n">
        <f aca="false">(D173-D172)/D172</f>
        <v>0.0593951273313154</v>
      </c>
      <c r="J173" s="24" t="n">
        <f aca="false">MAX($B$2:B173)</f>
        <v>131.816442</v>
      </c>
      <c r="K173" s="25" t="n">
        <f aca="false">(B173-J173)/J173</f>
        <v>-0.0968290283544445</v>
      </c>
    </row>
    <row r="174" customFormat="false" ht="15" hidden="false" customHeight="false" outlineLevel="0" collapsed="false">
      <c r="A174" s="22" t="n">
        <v>45551</v>
      </c>
      <c r="B174" s="23" t="n">
        <v>115.954013</v>
      </c>
      <c r="C174" s="23" t="n">
        <v>558.265</v>
      </c>
      <c r="D174" s="23" t="n">
        <v>477.958436</v>
      </c>
      <c r="F174" s="25" t="n">
        <f aca="false">(B174-B173)/B173</f>
        <v>-0.0260285471358654</v>
      </c>
      <c r="G174" s="25" t="n">
        <f aca="false">(C174-C173)/C173</f>
        <v>0.0142085298413645</v>
      </c>
      <c r="H174" s="25" t="n">
        <f aca="false">(D174-D173)/D173</f>
        <v>0.0149366758962374</v>
      </c>
      <c r="J174" s="24" t="n">
        <f aca="false">MAX($B$2:B174)</f>
        <v>131.816442</v>
      </c>
      <c r="K174" s="25" t="n">
        <f aca="false">(B174-J174)/J174</f>
        <v>-0.120337256561666</v>
      </c>
    </row>
    <row r="175" customFormat="false" ht="15" hidden="false" customHeight="false" outlineLevel="0" collapsed="false">
      <c r="A175" s="22" t="n">
        <v>45558</v>
      </c>
      <c r="B175" s="23" t="n">
        <v>121.351872</v>
      </c>
      <c r="C175" s="23" t="n">
        <v>561.429</v>
      </c>
      <c r="D175" s="23" t="n">
        <v>482.905913</v>
      </c>
      <c r="F175" s="25" t="n">
        <f aca="false">(B175-B174)/B174</f>
        <v>0.046551722190072</v>
      </c>
      <c r="G175" s="25" t="n">
        <f aca="false">(C175-C174)/C174</f>
        <v>0.00566755931322936</v>
      </c>
      <c r="H175" s="25" t="n">
        <f aca="false">(D175-D174)/D174</f>
        <v>0.0103512703769915</v>
      </c>
      <c r="J175" s="24" t="n">
        <f aca="false">MAX($B$2:B175)</f>
        <v>131.816442</v>
      </c>
      <c r="K175" s="25" t="n">
        <f aca="false">(B175-J175)/J175</f>
        <v>-0.0793874409081683</v>
      </c>
    </row>
    <row r="176" customFormat="false" ht="15" hidden="false" customHeight="false" outlineLevel="0" collapsed="false">
      <c r="A176" s="22" t="n">
        <v>45565</v>
      </c>
      <c r="B176" s="23" t="n">
        <v>124.870477</v>
      </c>
      <c r="C176" s="23" t="n">
        <v>562.912</v>
      </c>
      <c r="D176" s="23" t="n">
        <v>483.471411</v>
      </c>
      <c r="F176" s="25" t="n">
        <f aca="false">(B176-B175)/B175</f>
        <v>0.0289950615677358</v>
      </c>
      <c r="G176" s="25" t="n">
        <f aca="false">(C176-C175)/C175</f>
        <v>0.0026414738105799</v>
      </c>
      <c r="H176" s="25" t="n">
        <f aca="false">(D176-D175)/D175</f>
        <v>0.0011710314261569</v>
      </c>
      <c r="J176" s="24" t="n">
        <f aca="false">MAX($B$2:B176)</f>
        <v>131.816442</v>
      </c>
      <c r="K176" s="25" t="n">
        <f aca="false">(B176-J176)/J176</f>
        <v>-0.0526942230772698</v>
      </c>
    </row>
    <row r="177" customFormat="false" ht="15" hidden="false" customHeight="false" outlineLevel="0" collapsed="false">
      <c r="A177" s="22" t="n">
        <v>45572</v>
      </c>
      <c r="B177" s="23" t="n">
        <v>134.74656</v>
      </c>
      <c r="C177" s="23" t="n">
        <v>569.396</v>
      </c>
      <c r="D177" s="23" t="n">
        <v>489.463711</v>
      </c>
      <c r="F177" s="25" t="n">
        <f aca="false">(B177-B176)/B176</f>
        <v>0.0790906164312962</v>
      </c>
      <c r="G177" s="25" t="n">
        <f aca="false">(C177-C176)/C176</f>
        <v>0.0115186743220964</v>
      </c>
      <c r="H177" s="25" t="n">
        <f aca="false">(D177-D176)/D176</f>
        <v>0.0123943212849043</v>
      </c>
      <c r="J177" s="24" t="n">
        <f aca="false">MAX($B$2:B177)</f>
        <v>134.74656</v>
      </c>
      <c r="K177" s="25" t="n">
        <f aca="false">(B177-J177)/J177</f>
        <v>0</v>
      </c>
    </row>
    <row r="178" customFormat="false" ht="15" hidden="false" customHeight="false" outlineLevel="0" collapsed="false">
      <c r="A178" s="22" t="n">
        <v>45579</v>
      </c>
      <c r="B178" s="23" t="n">
        <v>137.945291</v>
      </c>
      <c r="C178" s="23" t="n">
        <v>574.318</v>
      </c>
      <c r="D178" s="23" t="n">
        <v>490.564945</v>
      </c>
      <c r="F178" s="25" t="n">
        <f aca="false">(B178-B177)/B177</f>
        <v>0.0237388694746642</v>
      </c>
      <c r="G178" s="25" t="n">
        <f aca="false">(C178-C177)/C177</f>
        <v>0.00864424758867296</v>
      </c>
      <c r="H178" s="25" t="n">
        <f aca="false">(D178-D177)/D177</f>
        <v>0.00224987874535204</v>
      </c>
      <c r="J178" s="24" t="n">
        <f aca="false">MAX($B$2:B178)</f>
        <v>137.945291</v>
      </c>
      <c r="K178" s="25" t="n">
        <f aca="false">(B178-J178)/J178</f>
        <v>0</v>
      </c>
    </row>
    <row r="179" customFormat="false" ht="15" hidden="false" customHeight="false" outlineLevel="0" collapsed="false">
      <c r="A179" s="22" t="n">
        <v>45586</v>
      </c>
      <c r="B179" s="23" t="n">
        <v>141.483888</v>
      </c>
      <c r="C179" s="23" t="n">
        <v>568.866</v>
      </c>
      <c r="D179" s="23" t="n">
        <v>491.408232</v>
      </c>
      <c r="F179" s="25" t="n">
        <f aca="false">(B179-B178)/B178</f>
        <v>0.0256521768474142</v>
      </c>
      <c r="G179" s="25" t="n">
        <f aca="false">(C179-C178)/C178</f>
        <v>-0.00949299865231457</v>
      </c>
      <c r="H179" s="25" t="n">
        <f aca="false">(D179-D178)/D178</f>
        <v>0.00171901194448367</v>
      </c>
      <c r="J179" s="24" t="n">
        <f aca="false">MAX($B$2:B179)</f>
        <v>141.483888</v>
      </c>
      <c r="K179" s="25" t="n">
        <f aca="false">(B179-J179)/J179</f>
        <v>0</v>
      </c>
    </row>
    <row r="180" customFormat="false" ht="15" hidden="false" customHeight="false" outlineLevel="0" collapsed="false">
      <c r="A180" s="22" t="n">
        <v>45593</v>
      </c>
      <c r="B180" s="23" t="n">
        <v>135.346322</v>
      </c>
      <c r="C180" s="23" t="n">
        <v>561.006</v>
      </c>
      <c r="D180" s="23" t="n">
        <v>483.580543</v>
      </c>
      <c r="F180" s="25" t="n">
        <f aca="false">(B180-B179)/B179</f>
        <v>-0.0433799642260327</v>
      </c>
      <c r="G180" s="25" t="n">
        <f aca="false">(C180-C179)/C179</f>
        <v>-0.0138169621668372</v>
      </c>
      <c r="H180" s="25" t="n">
        <f aca="false">(D180-D179)/D179</f>
        <v>-0.0159290961979652</v>
      </c>
      <c r="J180" s="24" t="n">
        <f aca="false">MAX($B$2:B180)</f>
        <v>141.483888</v>
      </c>
      <c r="K180" s="25" t="n">
        <f aca="false">(B180-J180)/J180</f>
        <v>-0.0433799642260327</v>
      </c>
    </row>
    <row r="181" customFormat="false" ht="15" hidden="false" customHeight="false" outlineLevel="0" collapsed="false">
      <c r="A181" s="22" t="n">
        <v>45600</v>
      </c>
      <c r="B181" s="23" t="n">
        <v>147.571474</v>
      </c>
      <c r="C181" s="23" t="n">
        <v>587.679</v>
      </c>
      <c r="D181" s="23" t="n">
        <v>510.079602</v>
      </c>
      <c r="F181" s="25" t="n">
        <f aca="false">(B181-B180)/B180</f>
        <v>0.0903249664959496</v>
      </c>
      <c r="G181" s="25" t="n">
        <f aca="false">(C181-C180)/C180</f>
        <v>0.0475449460433578</v>
      </c>
      <c r="H181" s="25" t="n">
        <f aca="false">(D181-D180)/D180</f>
        <v>0.054797612070178</v>
      </c>
      <c r="J181" s="24" t="n">
        <f aca="false">MAX($B$2:B181)</f>
        <v>147.571474</v>
      </c>
      <c r="K181" s="25" t="n">
        <f aca="false">(B181-J181)/J181</f>
        <v>0</v>
      </c>
    </row>
    <row r="182" customFormat="false" ht="15" hidden="false" customHeight="false" outlineLevel="0" collapsed="false">
      <c r="A182" s="22" t="n">
        <v>45607</v>
      </c>
      <c r="B182" s="23" t="n">
        <v>141.923714</v>
      </c>
      <c r="C182" s="23" t="n">
        <v>575.458</v>
      </c>
      <c r="D182" s="23" t="n">
        <v>492.64836</v>
      </c>
      <c r="F182" s="25" t="n">
        <f aca="false">(B182-B181)/B181</f>
        <v>-0.0382713531749368</v>
      </c>
      <c r="G182" s="25" t="n">
        <f aca="false">(C182-C181)/C181</f>
        <v>-0.0207953661777943</v>
      </c>
      <c r="H182" s="25" t="n">
        <f aca="false">(D182-D181)/D181</f>
        <v>-0.0341735719908282</v>
      </c>
      <c r="J182" s="24" t="n">
        <f aca="false">MAX($B$2:B182)</f>
        <v>147.571474</v>
      </c>
      <c r="K182" s="25" t="n">
        <f aca="false">(B182-J182)/J182</f>
        <v>-0.0382713531749368</v>
      </c>
    </row>
    <row r="183" customFormat="false" ht="15" hidden="false" customHeight="false" outlineLevel="0" collapsed="false">
      <c r="A183" s="22" t="n">
        <v>45614</v>
      </c>
      <c r="B183" s="23" t="n">
        <v>141.893725</v>
      </c>
      <c r="C183" s="23" t="n">
        <v>585.046</v>
      </c>
      <c r="D183" s="23" t="n">
        <v>501.795545</v>
      </c>
      <c r="F183" s="25" t="n">
        <f aca="false">(B183-B182)/B182</f>
        <v>-0.000211303658527429</v>
      </c>
      <c r="G183" s="25" t="n">
        <f aca="false">(C183-C182)/C182</f>
        <v>0.0166615113526966</v>
      </c>
      <c r="H183" s="25" t="n">
        <f aca="false">(D183-D182)/D182</f>
        <v>0.0185673712584773</v>
      </c>
      <c r="J183" s="24" t="n">
        <f aca="false">MAX($B$2:B183)</f>
        <v>147.571474</v>
      </c>
      <c r="K183" s="25" t="n">
        <f aca="false">(B183-J183)/J183</f>
        <v>-0.0384745699565216</v>
      </c>
    </row>
    <row r="184" customFormat="false" ht="15" hidden="false" customHeight="false" outlineLevel="0" collapsed="false">
      <c r="A184" s="22" t="n">
        <v>45621</v>
      </c>
      <c r="B184" s="23" t="n">
        <v>138.195192</v>
      </c>
      <c r="C184" s="23" t="n">
        <v>591.963</v>
      </c>
      <c r="D184" s="23" t="n">
        <v>505.71435</v>
      </c>
      <c r="F184" s="25" t="n">
        <f aca="false">(B184-B183)/B183</f>
        <v>-0.0260655148774197</v>
      </c>
      <c r="G184" s="25" t="n">
        <f aca="false">(C184-C183)/C183</f>
        <v>0.0118230019519831</v>
      </c>
      <c r="H184" s="25" t="n">
        <f aca="false">(D184-D183)/D183</f>
        <v>0.00780956514869023</v>
      </c>
      <c r="J184" s="24" t="n">
        <f aca="false">MAX($B$2:B184)</f>
        <v>147.571474</v>
      </c>
      <c r="K184" s="25" t="n">
        <f aca="false">(B184-J184)/J184</f>
        <v>-0.0635372253583372</v>
      </c>
    </row>
    <row r="185" customFormat="false" ht="15" hidden="false" customHeight="false" outlineLevel="0" collapsed="false">
      <c r="A185" s="22" t="n">
        <v>45628</v>
      </c>
      <c r="B185" s="23" t="n">
        <v>142.393342</v>
      </c>
      <c r="C185" s="23" t="n">
        <v>597.13</v>
      </c>
      <c r="D185" s="23" t="n">
        <v>522.322147</v>
      </c>
      <c r="F185" s="25" t="n">
        <f aca="false">(B185-B184)/B184</f>
        <v>0.0303784085339235</v>
      </c>
      <c r="G185" s="25" t="n">
        <f aca="false">(C185-C184)/C184</f>
        <v>0.00872858607717041</v>
      </c>
      <c r="H185" s="25" t="n">
        <f aca="false">(D185-D184)/D184</f>
        <v>0.0328402723790613</v>
      </c>
      <c r="J185" s="24" t="n">
        <f aca="false">MAX($B$2:B185)</f>
        <v>147.571474</v>
      </c>
      <c r="K185" s="25" t="n">
        <f aca="false">(B185-J185)/J185</f>
        <v>-0.0350889766134613</v>
      </c>
    </row>
    <row r="186" customFormat="false" ht="15" hidden="false" customHeight="false" outlineLevel="0" collapsed="false">
      <c r="A186" s="22" t="n">
        <v>45635</v>
      </c>
      <c r="B186" s="23" t="n">
        <v>134.206025</v>
      </c>
      <c r="C186" s="23" t="n">
        <v>593.594</v>
      </c>
      <c r="D186" s="23" t="n">
        <v>526.340162</v>
      </c>
      <c r="F186" s="25" t="n">
        <f aca="false">(B186-B185)/B185</f>
        <v>-0.0574978920011582</v>
      </c>
      <c r="G186" s="25" t="n">
        <f aca="false">(C186-C185)/C185</f>
        <v>-0.0059216586003047</v>
      </c>
      <c r="H186" s="25" t="n">
        <f aca="false">(D186-D185)/D185</f>
        <v>0.00769259933372113</v>
      </c>
      <c r="J186" s="24" t="n">
        <f aca="false">MAX($B$2:B186)</f>
        <v>147.571474</v>
      </c>
      <c r="K186" s="25" t="n">
        <f aca="false">(B186-J186)/J186</f>
        <v>-0.0905693264268675</v>
      </c>
    </row>
    <row r="187" customFormat="false" ht="15" hidden="false" customHeight="false" outlineLevel="0" collapsed="false">
      <c r="A187" s="22" t="n">
        <v>45642</v>
      </c>
      <c r="B187" s="23" t="n">
        <v>134.655877</v>
      </c>
      <c r="C187" s="23" t="n">
        <v>582.694</v>
      </c>
      <c r="D187" s="23" t="n">
        <v>514.563905</v>
      </c>
      <c r="F187" s="25" t="n">
        <f aca="false">(B187-B186)/B186</f>
        <v>0.00335195085317513</v>
      </c>
      <c r="G187" s="25" t="n">
        <f aca="false">(C187-C186)/C186</f>
        <v>-0.0183627192997235</v>
      </c>
      <c r="H187" s="25" t="n">
        <f aca="false">(D187-D186)/D186</f>
        <v>-0.0223738522161263</v>
      </c>
      <c r="J187" s="24" t="n">
        <f aca="false">MAX($B$2:B187)</f>
        <v>147.571474</v>
      </c>
      <c r="K187" s="25" t="n">
        <f aca="false">(B187-J187)/J187</f>
        <v>-0.0875209595046804</v>
      </c>
    </row>
    <row r="188" customFormat="false" ht="15" hidden="false" customHeight="false" outlineLevel="0" collapsed="false">
      <c r="A188" s="22" t="n">
        <v>45649</v>
      </c>
      <c r="B188" s="23" t="n">
        <v>136.965121</v>
      </c>
      <c r="C188" s="23" t="n">
        <v>586.499</v>
      </c>
      <c r="D188" s="23" t="n">
        <v>519.268745</v>
      </c>
      <c r="F188" s="25" t="n">
        <f aca="false">(B188-B187)/B187</f>
        <v>0.0171492255031691</v>
      </c>
      <c r="G188" s="25" t="n">
        <f aca="false">(C188-C187)/C187</f>
        <v>0.00653001403824317</v>
      </c>
      <c r="H188" s="25" t="n">
        <f aca="false">(D188-D187)/D187</f>
        <v>0.00914335411847434</v>
      </c>
      <c r="J188" s="24" t="n">
        <f aca="false">MAX($B$2:B188)</f>
        <v>147.571474</v>
      </c>
      <c r="K188" s="25" t="n">
        <f aca="false">(B188-J188)/J188</f>
        <v>-0.0718726506723107</v>
      </c>
    </row>
    <row r="189" customFormat="false" ht="15" hidden="false" customHeight="false" outlineLevel="0" collapsed="false">
      <c r="A189" s="22" t="n">
        <v>45656</v>
      </c>
      <c r="B189" s="23" t="n">
        <v>144.422677</v>
      </c>
      <c r="C189" s="23" t="n">
        <v>583.483</v>
      </c>
      <c r="D189" s="23" t="n">
        <v>515.313812</v>
      </c>
      <c r="F189" s="25" t="n">
        <f aca="false">(B189-B188)/B188</f>
        <v>0.0544485774593663</v>
      </c>
      <c r="G189" s="25" t="n">
        <f aca="false">(C189-C188)/C188</f>
        <v>-0.0051423787593842</v>
      </c>
      <c r="H189" s="25" t="n">
        <f aca="false">(D189-D188)/D188</f>
        <v>-0.00761635095137487</v>
      </c>
      <c r="J189" s="24" t="n">
        <f aca="false">MAX($B$2:B189)</f>
        <v>147.571474</v>
      </c>
      <c r="K189" s="25" t="n">
        <f aca="false">(B189-J189)/J189</f>
        <v>-0.0213374368002857</v>
      </c>
    </row>
    <row r="190" customFormat="false" ht="15" hidden="false" customHeight="false" outlineLevel="0" collapsed="false">
      <c r="A190" s="22" t="n">
        <v>45663</v>
      </c>
      <c r="B190" s="23" t="n">
        <v>135.865481</v>
      </c>
      <c r="C190" s="23" t="n">
        <v>572.187</v>
      </c>
      <c r="D190" s="23" t="n">
        <v>503.99555</v>
      </c>
      <c r="F190" s="25" t="n">
        <f aca="false">(B190-B189)/B189</f>
        <v>-0.0592510551511243</v>
      </c>
      <c r="G190" s="25" t="n">
        <f aca="false">(C190-C189)/C189</f>
        <v>-0.0193596043072376</v>
      </c>
      <c r="H190" s="25" t="n">
        <f aca="false">(D190-D189)/D189</f>
        <v>-0.0219638242492907</v>
      </c>
      <c r="J190" s="24" t="n">
        <f aca="false">MAX($B$2:B190)</f>
        <v>147.571474</v>
      </c>
      <c r="K190" s="25" t="n">
        <f aca="false">(B190-J190)/J190</f>
        <v>-0.0793242263067726</v>
      </c>
    </row>
    <row r="191" customFormat="false" ht="15" hidden="false" customHeight="false" outlineLevel="0" collapsed="false">
      <c r="A191" s="22" t="n">
        <v>45670</v>
      </c>
      <c r="B191" s="23" t="n">
        <v>137.664891</v>
      </c>
      <c r="C191" s="23" t="n">
        <v>589.032</v>
      </c>
      <c r="D191" s="23" t="n">
        <v>518.453909</v>
      </c>
      <c r="F191" s="25" t="n">
        <f aca="false">(B191-B190)/B190</f>
        <v>0.0132440557141959</v>
      </c>
      <c r="G191" s="25" t="n">
        <f aca="false">(C191-C190)/C190</f>
        <v>0.0294396761897772</v>
      </c>
      <c r="H191" s="25" t="n">
        <f aca="false">(D191-D190)/D190</f>
        <v>0.0286874735302722</v>
      </c>
      <c r="J191" s="24" t="n">
        <f aca="false">MAX($B$2:B191)</f>
        <v>147.571474</v>
      </c>
      <c r="K191" s="25" t="n">
        <f aca="false">(B191-J191)/J191</f>
        <v>-0.0671307450652691</v>
      </c>
    </row>
    <row r="192" customFormat="false" ht="15" hidden="false" customHeight="false" outlineLevel="0" collapsed="false">
      <c r="A192" s="22" t="n">
        <v>45678</v>
      </c>
      <c r="B192" s="23" t="n">
        <v>142.573283</v>
      </c>
      <c r="C192" s="23" t="n">
        <v>599.273</v>
      </c>
      <c r="D192" s="23" t="n">
        <v>526.294215</v>
      </c>
      <c r="F192" s="25" t="n">
        <f aca="false">(B192-B191)/B191</f>
        <v>0.0356546390611677</v>
      </c>
      <c r="G192" s="25" t="n">
        <f aca="false">(C192-C191)/C191</f>
        <v>0.0173861521954664</v>
      </c>
      <c r="H192" s="25" t="n">
        <f aca="false">(D192-D191)/D191</f>
        <v>0.0151224744647456</v>
      </c>
      <c r="J192" s="24" t="n">
        <f aca="false">MAX($B$2:B192)</f>
        <v>147.571474</v>
      </c>
      <c r="K192" s="25" t="n">
        <f aca="false">(B192-J192)/J192</f>
        <v>-0.0338696284893108</v>
      </c>
    </row>
    <row r="193" customFormat="false" ht="15" hidden="false" customHeight="false" outlineLevel="0" collapsed="false">
      <c r="A193" s="22" t="n">
        <v>45684</v>
      </c>
      <c r="B193" s="23" t="n">
        <v>120.03067</v>
      </c>
      <c r="C193" s="23" t="n">
        <v>593.211</v>
      </c>
      <c r="D193" s="23" t="n">
        <v>519.000445</v>
      </c>
      <c r="F193" s="25" t="n">
        <f aca="false">(B193-B192)/B192</f>
        <v>-0.15811246346905</v>
      </c>
      <c r="G193" s="25" t="n">
        <f aca="false">(C193-C192)/C192</f>
        <v>-0.0101155900566186</v>
      </c>
      <c r="H193" s="25" t="n">
        <f aca="false">(D193-D192)/D192</f>
        <v>-0.0138587310901755</v>
      </c>
      <c r="J193" s="24" t="n">
        <f aca="false">MAX($B$2:B193)</f>
        <v>147.571474</v>
      </c>
      <c r="K193" s="25" t="n">
        <f aca="false">(B193-J193)/J193</f>
        <v>-0.186626881561134</v>
      </c>
    </row>
    <row r="194" customFormat="false" ht="15" hidden="false" customHeight="false" outlineLevel="0" collapsed="false">
      <c r="A194" s="22" t="n">
        <v>45691</v>
      </c>
      <c r="B194" s="23" t="n">
        <v>129.797469</v>
      </c>
      <c r="C194" s="23" t="n">
        <v>592.176</v>
      </c>
      <c r="D194" s="23" t="n">
        <v>519.626477</v>
      </c>
      <c r="F194" s="25" t="n">
        <f aca="false">(B194-B193)/B193</f>
        <v>0.0813691950565635</v>
      </c>
      <c r="G194" s="25" t="n">
        <f aca="false">(C194-C193)/C193</f>
        <v>-0.0017447417529344</v>
      </c>
      <c r="H194" s="25" t="n">
        <f aca="false">(D194-D193)/D193</f>
        <v>0.001206226326068</v>
      </c>
      <c r="J194" s="24" t="n">
        <f aca="false">MAX($B$2:B194)</f>
        <v>147.571474</v>
      </c>
      <c r="K194" s="25" t="n">
        <f aca="false">(B194-J194)/J194</f>
        <v>-0.120443365633117</v>
      </c>
    </row>
    <row r="195" customFormat="false" ht="15" hidden="false" customHeight="false" outlineLevel="0" collapsed="false">
      <c r="A195" s="22" t="n">
        <v>45698</v>
      </c>
      <c r="B195" s="23" t="n">
        <v>138.804518</v>
      </c>
      <c r="C195" s="23" t="n">
        <v>600.979</v>
      </c>
      <c r="D195" s="23" t="n">
        <v>534.760554</v>
      </c>
      <c r="F195" s="25" t="n">
        <f aca="false">(B195-B194)/B194</f>
        <v>0.0693931019564025</v>
      </c>
      <c r="G195" s="25" t="n">
        <f aca="false">(C195-C194)/C194</f>
        <v>0.0148655129556078</v>
      </c>
      <c r="H195" s="25" t="n">
        <f aca="false">(D195-D194)/D194</f>
        <v>0.0291249150493152</v>
      </c>
      <c r="J195" s="24" t="n">
        <f aca="false">MAX($B$2:B195)</f>
        <v>147.571474</v>
      </c>
      <c r="K195" s="25" t="n">
        <f aca="false">(B195-J195)/J195</f>
        <v>-0.0594082024280654</v>
      </c>
    </row>
    <row r="196" customFormat="false" ht="15" hidden="false" customHeight="false" outlineLevel="0" collapsed="false">
      <c r="A196" s="22" t="n">
        <v>45706</v>
      </c>
      <c r="B196" s="23" t="n">
        <v>134.385966</v>
      </c>
      <c r="C196" s="23" t="n">
        <v>591.358</v>
      </c>
      <c r="D196" s="23" t="n">
        <v>522.766575</v>
      </c>
      <c r="F196" s="25" t="n">
        <f aca="false">(B196-B195)/B195</f>
        <v>-0.0318329119517565</v>
      </c>
      <c r="G196" s="25" t="n">
        <f aca="false">(C196-C195)/C195</f>
        <v>-0.0160088788460164</v>
      </c>
      <c r="H196" s="25" t="n">
        <f aca="false">(D196-D195)/D195</f>
        <v>-0.0224286905798964</v>
      </c>
      <c r="J196" s="24" t="n">
        <f aca="false">MAX($B$2:B196)</f>
        <v>147.571474</v>
      </c>
      <c r="K196" s="25" t="n">
        <f aca="false">(B196-J196)/J196</f>
        <v>-0.0893499783027172</v>
      </c>
    </row>
    <row r="197" customFormat="false" ht="15" hidden="false" customHeight="false" outlineLevel="0" collapsed="false">
      <c r="A197" s="22" t="n">
        <v>45712</v>
      </c>
      <c r="B197" s="23" t="n">
        <v>124.879081</v>
      </c>
      <c r="C197" s="23" t="n">
        <v>585.681</v>
      </c>
      <c r="D197" s="23" t="n">
        <v>504.969378</v>
      </c>
      <c r="F197" s="25" t="n">
        <f aca="false">(B197-B196)/B196</f>
        <v>-0.0707431384613479</v>
      </c>
      <c r="G197" s="25" t="n">
        <f aca="false">(C197-C196)/C196</f>
        <v>-0.00959993777035215</v>
      </c>
      <c r="H197" s="25" t="n">
        <f aca="false">(D197-D196)/D196</f>
        <v>-0.0340442519684813</v>
      </c>
      <c r="J197" s="24" t="n">
        <f aca="false">MAX($B$2:B197)</f>
        <v>147.571474</v>
      </c>
      <c r="K197" s="25" t="n">
        <f aca="false">(B197-J197)/J197</f>
        <v>-0.153772218877478</v>
      </c>
    </row>
    <row r="198" customFormat="false" ht="15" hidden="false" customHeight="false" outlineLevel="0" collapsed="false">
      <c r="A198" s="22" t="n">
        <v>45719</v>
      </c>
      <c r="B198" s="23" t="n">
        <v>112.653087</v>
      </c>
      <c r="C198" s="23" t="n">
        <v>567.682</v>
      </c>
      <c r="D198" s="23" t="n">
        <v>488.692544</v>
      </c>
      <c r="F198" s="25" t="n">
        <f aca="false">(B198-B197)/B197</f>
        <v>-0.0979026583323431</v>
      </c>
      <c r="G198" s="25" t="n">
        <f aca="false">(C198-C197)/C197</f>
        <v>-0.0307317464626649</v>
      </c>
      <c r="H198" s="25" t="n">
        <f aca="false">(D198-D197)/D197</f>
        <v>-0.0322333090067097</v>
      </c>
      <c r="J198" s="24" t="n">
        <f aca="false">MAX($B$2:B198)</f>
        <v>147.571474</v>
      </c>
      <c r="K198" s="25" t="n">
        <f aca="false">(B198-J198)/J198</f>
        <v>-0.236620168204053</v>
      </c>
    </row>
    <row r="199" customFormat="false" ht="15" hidden="false" customHeight="false" outlineLevel="0" collapsed="false">
      <c r="A199" s="22" t="n">
        <v>45726</v>
      </c>
      <c r="B199" s="23" t="n">
        <v>121.64133</v>
      </c>
      <c r="C199" s="23" t="n">
        <v>554.759</v>
      </c>
      <c r="D199" s="23" t="n">
        <v>476.638943</v>
      </c>
      <c r="F199" s="25" t="n">
        <f aca="false">(B199-B198)/B198</f>
        <v>0.0797869214183185</v>
      </c>
      <c r="G199" s="25" t="n">
        <f aca="false">(C199-C198)/C198</f>
        <v>-0.0227645054801808</v>
      </c>
      <c r="H199" s="25" t="n">
        <f aca="false">(D199-D198)/D198</f>
        <v>-0.0246649987768179</v>
      </c>
      <c r="J199" s="24" t="n">
        <f aca="false">MAX($B$2:B199)</f>
        <v>147.571474</v>
      </c>
      <c r="K199" s="25" t="n">
        <f aca="false">(B199-J199)/J199</f>
        <v>-0.17571244155222</v>
      </c>
    </row>
    <row r="200" customFormat="false" ht="15" hidden="false" customHeight="false" outlineLevel="0" collapsed="false">
      <c r="A200" s="22" t="n">
        <v>45733</v>
      </c>
      <c r="B200" s="23" t="n">
        <v>117.672265</v>
      </c>
      <c r="C200" s="23" t="n">
        <v>557.584</v>
      </c>
      <c r="D200" s="23" t="n">
        <v>477.811511</v>
      </c>
      <c r="F200" s="25" t="n">
        <f aca="false">(B200-B199)/B199</f>
        <v>-0.0326292469837349</v>
      </c>
      <c r="G200" s="25" t="n">
        <f aca="false">(C200-C199)/C199</f>
        <v>0.00509230134166356</v>
      </c>
      <c r="H200" s="25" t="n">
        <f aca="false">(D200-D199)/D199</f>
        <v>0.00246007594893482</v>
      </c>
      <c r="J200" s="24" t="n">
        <f aca="false">MAX($B$2:B200)</f>
        <v>147.571474</v>
      </c>
      <c r="K200" s="25" t="n">
        <f aca="false">(B200-J200)/J200</f>
        <v>-0.202608323882433</v>
      </c>
    </row>
    <row r="201" customFormat="false" ht="15" hidden="false" customHeight="false" outlineLevel="0" collapsed="false">
      <c r="A201" s="22" t="n">
        <v>45740</v>
      </c>
      <c r="B201" s="23" t="n">
        <v>109.644157</v>
      </c>
      <c r="C201" s="23" t="n">
        <v>549.358</v>
      </c>
      <c r="D201" s="23" t="n">
        <v>466.681096</v>
      </c>
      <c r="F201" s="25" t="n">
        <f aca="false">(B201-B200)/B200</f>
        <v>-0.0682243007729985</v>
      </c>
      <c r="G201" s="25" t="n">
        <f aca="false">(C201-C200)/C200</f>
        <v>-0.0147529340870613</v>
      </c>
      <c r="H201" s="25" t="n">
        <f aca="false">(D201-D200)/D200</f>
        <v>-0.0232945727420953</v>
      </c>
      <c r="J201" s="24" t="n">
        <f aca="false">MAX($B$2:B201)</f>
        <v>147.571474</v>
      </c>
      <c r="K201" s="25" t="n">
        <f aca="false">(B201-J201)/J201</f>
        <v>-0.257009813427763</v>
      </c>
    </row>
    <row r="202" customFormat="false" ht="15" hidden="false" customHeight="false" outlineLevel="0" collapsed="false">
      <c r="A202" s="22" t="n">
        <v>45747</v>
      </c>
      <c r="B202" s="23" t="n">
        <v>94.287777</v>
      </c>
      <c r="C202" s="23" t="n">
        <v>499.55</v>
      </c>
      <c r="D202" s="23" t="n">
        <v>420.633981</v>
      </c>
      <c r="F202" s="25" t="n">
        <f aca="false">(B202-B201)/B201</f>
        <v>-0.140056528502472</v>
      </c>
      <c r="G202" s="25" t="n">
        <f aca="false">(C202-C201)/C201</f>
        <v>-0.0906658317527003</v>
      </c>
      <c r="H202" s="25" t="n">
        <f aca="false">(D202-D201)/D201</f>
        <v>-0.0986693384297701</v>
      </c>
      <c r="J202" s="24" t="n">
        <f aca="false">MAX($B$2:B202)</f>
        <v>147.571474</v>
      </c>
      <c r="K202" s="25" t="n">
        <f aca="false">(B202-J202)/J202</f>
        <v>-0.361070439670475</v>
      </c>
    </row>
    <row r="203" customFormat="false" ht="15" hidden="false" customHeight="false" outlineLevel="0" collapsed="false">
      <c r="A203" s="22" t="n">
        <v>45754</v>
      </c>
      <c r="B203" s="23" t="n">
        <v>110.903861</v>
      </c>
      <c r="C203" s="23" t="n">
        <v>527.885</v>
      </c>
      <c r="D203" s="23" t="n">
        <v>452.211136</v>
      </c>
      <c r="F203" s="25" t="n">
        <f aca="false">(B203-B202)/B202</f>
        <v>0.176227338565846</v>
      </c>
      <c r="G203" s="25" t="n">
        <f aca="false">(C203-C202)/C202</f>
        <v>0.0567210489440496</v>
      </c>
      <c r="H203" s="25" t="n">
        <f aca="false">(D203-D202)/D202</f>
        <v>0.0750703852430791</v>
      </c>
      <c r="J203" s="24" t="n">
        <f aca="false">MAX($B$2:B203)</f>
        <v>147.571474</v>
      </c>
      <c r="K203" s="25" t="n">
        <f aca="false">(B203-J203)/J203</f>
        <v>-0.248473583722556</v>
      </c>
    </row>
    <row r="204" customFormat="false" ht="15" hidden="false" customHeight="false" outlineLevel="0" collapsed="false">
      <c r="A204" s="22" t="n">
        <v>45761</v>
      </c>
      <c r="B204" s="23" t="n">
        <v>101.466085</v>
      </c>
      <c r="C204" s="23" t="n">
        <v>520.44</v>
      </c>
      <c r="D204" s="23" t="n">
        <v>441.960752</v>
      </c>
      <c r="F204" s="25" t="n">
        <f aca="false">(B204-B203)/B203</f>
        <v>-0.0850987144622494</v>
      </c>
      <c r="G204" s="25" t="n">
        <f aca="false">(C204-C203)/C203</f>
        <v>-0.0141034505621488</v>
      </c>
      <c r="H204" s="25" t="n">
        <f aca="false">(D204-D203)/D203</f>
        <v>-0.0226672524933132</v>
      </c>
      <c r="J204" s="24" t="n">
        <f aca="false">MAX($B$2:B204)</f>
        <v>147.571474</v>
      </c>
      <c r="K204" s="25" t="n">
        <f aca="false">(B204-J204)/J204</f>
        <v>-0.312427515632188</v>
      </c>
    </row>
    <row r="205" customFormat="false" ht="15" hidden="false" customHeight="false" outlineLevel="0" collapsed="false">
      <c r="A205" s="22" t="n">
        <v>45768</v>
      </c>
      <c r="B205" s="23" t="n">
        <v>110.983842</v>
      </c>
      <c r="C205" s="23" t="n">
        <v>544.395</v>
      </c>
      <c r="D205" s="23" t="n">
        <v>470.283658</v>
      </c>
      <c r="F205" s="25" t="n">
        <f aca="false">(B205-B204)/B204</f>
        <v>0.0938023478485446</v>
      </c>
      <c r="G205" s="25" t="n">
        <f aca="false">(C205-C204)/C204</f>
        <v>0.0460283606179385</v>
      </c>
      <c r="H205" s="25" t="n">
        <f aca="false">(D205-D204)/D204</f>
        <v>0.0640846633368023</v>
      </c>
      <c r="J205" s="24" t="n">
        <f aca="false">MAX($B$2:B205)</f>
        <v>147.571474</v>
      </c>
      <c r="K205" s="25" t="n">
        <f aca="false">(B205-J205)/J205</f>
        <v>-0.24793160228243</v>
      </c>
    </row>
    <row r="206" customFormat="false" ht="15" hidden="false" customHeight="false" outlineLevel="0" collapsed="false">
      <c r="A206" s="22" t="n">
        <v>45775</v>
      </c>
      <c r="B206" s="23" t="n">
        <v>114.473019</v>
      </c>
      <c r="C206" s="23" t="n">
        <v>560.332</v>
      </c>
      <c r="D206" s="23" t="n">
        <v>486.475285</v>
      </c>
      <c r="F206" s="25" t="n">
        <f aca="false">(B206-B205)/B205</f>
        <v>0.0314386034680616</v>
      </c>
      <c r="G206" s="25" t="n">
        <f aca="false">(C206-C205)/C205</f>
        <v>0.0292746994369897</v>
      </c>
      <c r="H206" s="25" t="n">
        <f aca="false">(D206-D205)/D205</f>
        <v>0.0344294910626046</v>
      </c>
      <c r="J206" s="24" t="n">
        <f aca="false">MAX($B$2:B206)</f>
        <v>147.571474</v>
      </c>
      <c r="K206" s="25" t="n">
        <f aca="false">(B206-J206)/J206</f>
        <v>-0.224287622145727</v>
      </c>
    </row>
    <row r="207" customFormat="false" ht="15" hidden="false" customHeight="false" outlineLevel="0" collapsed="false">
      <c r="A207" s="22" t="n">
        <v>45782</v>
      </c>
      <c r="B207" s="23" t="n">
        <v>116.622513</v>
      </c>
      <c r="C207" s="23" t="n">
        <v>557.94</v>
      </c>
      <c r="D207" s="23" t="n">
        <v>485.619428</v>
      </c>
      <c r="F207" s="25" t="n">
        <f aca="false">(B207-B206)/B206</f>
        <v>0.0187772980810439</v>
      </c>
      <c r="G207" s="25" t="n">
        <f aca="false">(C207-C206)/C206</f>
        <v>-0.00426889772492012</v>
      </c>
      <c r="H207" s="25" t="n">
        <f aca="false">(D207-D206)/D206</f>
        <v>-0.00175930211953102</v>
      </c>
      <c r="J207" s="24" t="n">
        <f aca="false">MAX($B$2:B207)</f>
        <v>147.571474</v>
      </c>
      <c r="K207" s="25" t="n">
        <f aca="false">(B207-J207)/J207</f>
        <v>-0.209721839601602</v>
      </c>
    </row>
    <row r="208" customFormat="false" ht="15" hidden="false" customHeight="false" outlineLevel="0" collapsed="false">
      <c r="A208" s="22" t="n">
        <v>45789</v>
      </c>
      <c r="B208" s="23" t="n">
        <v>135.368095</v>
      </c>
      <c r="C208" s="23" t="n">
        <v>587.461</v>
      </c>
      <c r="D208" s="23" t="n">
        <v>518.997864</v>
      </c>
      <c r="F208" s="25" t="n">
        <f aca="false">(B208-B207)/B207</f>
        <v>0.160737249762402</v>
      </c>
      <c r="G208" s="25" t="n">
        <f aca="false">(C208-C207)/C207</f>
        <v>0.0529107072445065</v>
      </c>
      <c r="H208" s="25" t="n">
        <f aca="false">(D208-D207)/D207</f>
        <v>0.0687337327863251</v>
      </c>
      <c r="J208" s="24" t="n">
        <f aca="false">MAX($B$2:B208)</f>
        <v>147.571474</v>
      </c>
      <c r="K208" s="25" t="n">
        <f aca="false">(B208-J208)/J208</f>
        <v>-0.082694701551873</v>
      </c>
    </row>
    <row r="209" customFormat="false" ht="15" hidden="false" customHeight="false" outlineLevel="0" collapsed="false">
      <c r="A209" s="22" t="n">
        <v>45796</v>
      </c>
      <c r="B209" s="23" t="n">
        <v>131.259063</v>
      </c>
      <c r="C209" s="23" t="n">
        <v>572.542</v>
      </c>
      <c r="D209" s="23" t="n">
        <v>506.786969</v>
      </c>
      <c r="F209" s="25" t="n">
        <f aca="false">(B209-B208)/B208</f>
        <v>-0.03035450857161</v>
      </c>
      <c r="G209" s="25" t="n">
        <f aca="false">(C209-C208)/C208</f>
        <v>-0.0253957283972893</v>
      </c>
      <c r="H209" s="25" t="n">
        <f aca="false">(D209-D208)/D208</f>
        <v>-0.0235278328621407</v>
      </c>
      <c r="J209" s="24" t="n">
        <f aca="false">MAX($B$2:B209)</f>
        <v>147.571474</v>
      </c>
      <c r="K209" s="25" t="n">
        <f aca="false">(B209-J209)/J209</f>
        <v>-0.1105390530964</v>
      </c>
    </row>
    <row r="210" customFormat="false" ht="15" hidden="false" customHeight="false" outlineLevel="0" collapsed="false">
      <c r="A210" s="22" t="n">
        <v>45804</v>
      </c>
      <c r="B210" s="23" t="n">
        <v>135.098158</v>
      </c>
      <c r="C210" s="23" t="n">
        <v>582.706</v>
      </c>
      <c r="D210" s="23" t="n">
        <v>516.609425</v>
      </c>
      <c r="F210" s="25" t="n">
        <f aca="false">(B210-B209)/B209</f>
        <v>0.029248227987122</v>
      </c>
      <c r="G210" s="25" t="n">
        <f aca="false">(C210-C209)/C209</f>
        <v>0.0177524094302252</v>
      </c>
      <c r="H210" s="25" t="n">
        <f aca="false">(D210-D209)/D209</f>
        <v>0.0193818243183755</v>
      </c>
      <c r="J210" s="24" t="n">
        <f aca="false">MAX($B$2:B210)</f>
        <v>147.571474</v>
      </c>
      <c r="K210" s="25" t="n">
        <f aca="false">(B210-J210)/J210</f>
        <v>-0.084523896535722</v>
      </c>
    </row>
    <row r="211" customFormat="false" ht="15" hidden="false" customHeight="false" outlineLevel="0" collapsed="false">
      <c r="A211" s="22" t="n">
        <v>45810</v>
      </c>
      <c r="B211" s="23" t="n">
        <v>141.686605</v>
      </c>
      <c r="C211" s="23" t="n">
        <v>592.345</v>
      </c>
      <c r="D211" s="23" t="n">
        <v>527.367353</v>
      </c>
      <c r="F211" s="25" t="n">
        <f aca="false">(B211-B210)/B210</f>
        <v>0.0487678521864079</v>
      </c>
      <c r="G211" s="25" t="n">
        <f aca="false">(C211-C210)/C210</f>
        <v>0.0165417895130649</v>
      </c>
      <c r="H211" s="25" t="n">
        <f aca="false">(D211-D210)/D210</f>
        <v>0.0208241032381475</v>
      </c>
      <c r="J211" s="24" t="n">
        <f aca="false">MAX($B$2:B211)</f>
        <v>147.571474</v>
      </c>
      <c r="K211" s="25" t="n">
        <f aca="false">(B211-J211)/J211</f>
        <v>-0.0398780932417874</v>
      </c>
    </row>
    <row r="212" customFormat="false" ht="15" hidden="false" customHeight="false" outlineLevel="0" collapsed="false">
      <c r="A212" s="22" t="n">
        <v>45817</v>
      </c>
      <c r="B212" s="23" t="n">
        <v>141.946406</v>
      </c>
      <c r="C212" s="23" t="n">
        <v>590.229</v>
      </c>
      <c r="D212" s="23" t="n">
        <v>524.421611</v>
      </c>
      <c r="F212" s="25" t="n">
        <f aca="false">(B212-B211)/B211</f>
        <v>0.00183363134433216</v>
      </c>
      <c r="G212" s="25" t="n">
        <f aca="false">(C212-C211)/C211</f>
        <v>-0.00357224252758103</v>
      </c>
      <c r="H212" s="25" t="n">
        <f aca="false">(D212-D211)/D211</f>
        <v>-0.00558574963588995</v>
      </c>
      <c r="J212" s="24" t="n">
        <f aca="false">MAX($B$2:B212)</f>
        <v>147.571474</v>
      </c>
      <c r="K212" s="25" t="n">
        <f aca="false">(B212-J212)/J212</f>
        <v>-0.0381175836191756</v>
      </c>
    </row>
    <row r="213" customFormat="false" ht="15" hidden="false" customHeight="false" outlineLevel="0" collapsed="false">
      <c r="A213" s="22" t="n">
        <v>45824</v>
      </c>
      <c r="B213" s="23" t="n">
        <v>143.826094</v>
      </c>
      <c r="C213" s="23" t="n">
        <v>589.281</v>
      </c>
      <c r="D213" s="23" t="n">
        <v>524.292238</v>
      </c>
      <c r="F213" s="25" t="n">
        <f aca="false">(B213-B212)/B212</f>
        <v>0.0132422373554144</v>
      </c>
      <c r="G213" s="25" t="n">
        <f aca="false">(C213-C212)/C212</f>
        <v>-0.00160615625460642</v>
      </c>
      <c r="H213" s="25" t="n">
        <f aca="false">(D213-D212)/D212</f>
        <v>-0.00024669654584465</v>
      </c>
      <c r="J213" s="24" t="n">
        <f aca="false">MAX($B$2:B213)</f>
        <v>147.571474</v>
      </c>
      <c r="K213" s="25" t="n">
        <f aca="false">(B213-J213)/J213</f>
        <v>-0.0253801083534612</v>
      </c>
    </row>
    <row r="214" customFormat="false" ht="15" hidden="false" customHeight="false" outlineLevel="0" collapsed="false">
      <c r="A214" s="22" t="n">
        <v>45831</v>
      </c>
      <c r="B214" s="23" t="n">
        <v>157.723784</v>
      </c>
      <c r="C214" s="23" t="n">
        <v>609.738</v>
      </c>
      <c r="D214" s="23" t="n">
        <v>546.062516</v>
      </c>
      <c r="F214" s="25" t="n">
        <f aca="false">(B214-B213)/B213</f>
        <v>0.0966284323900222</v>
      </c>
      <c r="G214" s="25" t="n">
        <f aca="false">(C214-C213)/C213</f>
        <v>0.0347151868124038</v>
      </c>
      <c r="H214" s="25" t="n">
        <f aca="false">(D214-D213)/D213</f>
        <v>0.0415231743331664</v>
      </c>
      <c r="J214" s="24" t="n">
        <f aca="false">MAX($B$2:B214)</f>
        <v>157.723784</v>
      </c>
      <c r="K214" s="25" t="n">
        <f aca="false">(B214-J214)/J214</f>
        <v>0</v>
      </c>
    </row>
    <row r="215" customFormat="false" ht="15" hidden="false" customHeight="false" outlineLevel="0" collapsed="false">
      <c r="A215" s="22" t="n">
        <v>45838</v>
      </c>
      <c r="B215" s="23" t="n">
        <v>159.31352</v>
      </c>
      <c r="C215" s="23" t="n">
        <v>620.08</v>
      </c>
      <c r="D215" s="23" t="n">
        <v>554.162442</v>
      </c>
      <c r="F215" s="25" t="n">
        <f aca="false">(B215-B214)/B214</f>
        <v>0.0100792408074613</v>
      </c>
      <c r="G215" s="25" t="n">
        <f aca="false">(C215-C214)/C214</f>
        <v>0.0169613834138597</v>
      </c>
      <c r="H215" s="25" t="n">
        <f aca="false">(D215-D214)/D214</f>
        <v>0.014833330914807</v>
      </c>
      <c r="J215" s="24" t="n">
        <f aca="false">MAX($B$2:B215)</f>
        <v>159.31352</v>
      </c>
      <c r="K215" s="25" t="n">
        <f aca="false">(B215-J215)/J215</f>
        <v>0</v>
      </c>
    </row>
    <row r="216" customFormat="false" ht="15" hidden="false" customHeight="false" outlineLevel="0" collapsed="false">
      <c r="A216" s="22" t="n">
        <v>45845</v>
      </c>
      <c r="B216" s="23" t="n">
        <v>164.892593</v>
      </c>
      <c r="C216" s="23" t="n">
        <v>618.375</v>
      </c>
      <c r="D216" s="23" t="n">
        <v>552.149914</v>
      </c>
      <c r="F216" s="25" t="n">
        <f aca="false">(B216-B215)/B215</f>
        <v>0.0350194572312506</v>
      </c>
      <c r="G216" s="25" t="n">
        <f aca="false">(C216-C215)/C215</f>
        <v>-0.00274964520707012</v>
      </c>
      <c r="H216" s="25" t="n">
        <f aca="false">(D216-D215)/D215</f>
        <v>-0.00363165715947254</v>
      </c>
      <c r="J216" s="24" t="n">
        <f aca="false">MAX($B$2:B216)</f>
        <v>164.892593</v>
      </c>
      <c r="K216" s="25" t="n">
        <f aca="false">(B216-J216)/J216</f>
        <v>0</v>
      </c>
    </row>
    <row r="217" customFormat="false" ht="15" hidden="false" customHeight="false" outlineLevel="0" collapsed="false">
      <c r="A217" s="22" t="n">
        <v>45852</v>
      </c>
      <c r="B217" s="23" t="n">
        <v>172.381348</v>
      </c>
      <c r="C217" s="23" t="n">
        <v>622.301</v>
      </c>
      <c r="D217" s="23" t="n">
        <v>559.183798</v>
      </c>
      <c r="F217" s="25" t="n">
        <f aca="false">(B217-B216)/B216</f>
        <v>0.0454159575257574</v>
      </c>
      <c r="G217" s="25" t="n">
        <f aca="false">(C217-C216)/C216</f>
        <v>0.00634889832221556</v>
      </c>
      <c r="H217" s="25" t="n">
        <f aca="false">(D217-D216)/D216</f>
        <v>0.0127390837554311</v>
      </c>
      <c r="J217" s="24" t="n">
        <f aca="false">MAX($B$2:B217)</f>
        <v>172.381348</v>
      </c>
      <c r="K217" s="25" t="n">
        <f aca="false">(B217-J217)/J217</f>
        <v>0</v>
      </c>
    </row>
    <row r="218" customFormat="false" ht="15" hidden="false" customHeight="false" outlineLevel="0" collapsed="false">
      <c r="A218" s="22" t="n">
        <v>45859</v>
      </c>
      <c r="B218" s="23" t="n">
        <v>173.471167</v>
      </c>
      <c r="C218" s="23" t="n">
        <v>631.741</v>
      </c>
      <c r="D218" s="23" t="n">
        <v>564.274895</v>
      </c>
      <c r="F218" s="25" t="n">
        <f aca="false">(B218-B217)/B217</f>
        <v>0.0063221399104038</v>
      </c>
      <c r="G218" s="25" t="n">
        <f aca="false">(C218-C217)/C217</f>
        <v>0.0151695080033616</v>
      </c>
      <c r="H218" s="25" t="n">
        <f aca="false">(D218-D217)/D217</f>
        <v>0.00910451450526467</v>
      </c>
      <c r="J218" s="24" t="n">
        <f aca="false">MAX($B$2:B218)</f>
        <v>173.471167</v>
      </c>
      <c r="K218" s="25" t="n">
        <f aca="false">(B218-J218)/J218</f>
        <v>0</v>
      </c>
    </row>
    <row r="219" customFormat="false" ht="15" hidden="false" customHeight="false" outlineLevel="0" collapsed="false">
      <c r="A219" s="22" t="n">
        <v>45866</v>
      </c>
      <c r="B219" s="23" t="n">
        <v>173.69113</v>
      </c>
      <c r="C219" s="23" t="n">
        <v>616.491</v>
      </c>
      <c r="D219" s="23" t="n">
        <v>551.831098</v>
      </c>
      <c r="F219" s="25" t="n">
        <f aca="false">(B219-B218)/B218</f>
        <v>0.00126800899425539</v>
      </c>
      <c r="G219" s="25" t="n">
        <f aca="false">(C219-C218)/C218</f>
        <v>-0.0241396395041639</v>
      </c>
      <c r="H219" s="25" t="n">
        <f aca="false">(D219-D218)/D218</f>
        <v>-0.0220527213070502</v>
      </c>
      <c r="J219" s="24" t="n">
        <f aca="false">MAX($B$2:B219)</f>
        <v>173.69113</v>
      </c>
      <c r="K219" s="25" t="n">
        <f aca="false">(B219-J219)/J219</f>
        <v>0</v>
      </c>
    </row>
    <row r="220" customFormat="false" ht="15" hidden="false" customHeight="false" outlineLevel="0" collapsed="false">
      <c r="A220" s="22" t="n">
        <v>45873</v>
      </c>
      <c r="B220" s="23" t="n">
        <v>182.669638</v>
      </c>
      <c r="C220" s="23" t="n">
        <v>631.821</v>
      </c>
      <c r="D220" s="23" t="n">
        <v>572.424636</v>
      </c>
      <c r="F220" s="25" t="n">
        <f aca="false">(B220-B219)/B219</f>
        <v>0.0516923806068854</v>
      </c>
      <c r="G220" s="25" t="n">
        <f aca="false">(C220-C219)/C219</f>
        <v>0.0248665430638891</v>
      </c>
      <c r="H220" s="25" t="n">
        <f aca="false">(D220-D219)/D219</f>
        <v>0.0373185528590851</v>
      </c>
      <c r="J220" s="24" t="n">
        <f aca="false">MAX($B$2:B220)</f>
        <v>182.669638</v>
      </c>
      <c r="K220" s="25" t="n">
        <f aca="false">(B220-J220)/J220</f>
        <v>0</v>
      </c>
    </row>
    <row r="221" customFormat="false" ht="15" hidden="false" customHeight="false" outlineLevel="0" collapsed="false">
      <c r="A221" s="22" t="n">
        <v>45880</v>
      </c>
      <c r="B221" s="23" t="n">
        <v>180.420012</v>
      </c>
      <c r="C221" s="23" t="n">
        <v>638.028</v>
      </c>
      <c r="D221" s="23" t="n">
        <v>575.204315</v>
      </c>
      <c r="F221" s="25" t="n">
        <f aca="false">(B221-B220)/B220</f>
        <v>-0.0123152704775162</v>
      </c>
      <c r="G221" s="25" t="n">
        <f aca="false">(C221-C220)/C220</f>
        <v>0.00982398495776493</v>
      </c>
      <c r="H221" s="25" t="n">
        <f aca="false">(D221-D220)/D220</f>
        <v>0.00485597373904779</v>
      </c>
      <c r="J221" s="24" t="n">
        <f aca="false">MAX($B$2:B221)</f>
        <v>182.669638</v>
      </c>
      <c r="K221" s="25" t="n">
        <f aca="false">(B221-J221)/J221</f>
        <v>-0.0123152704775162</v>
      </c>
    </row>
    <row r="222" customFormat="false" ht="15" hidden="false" customHeight="false" outlineLevel="0" collapsed="false">
      <c r="A222" s="22" t="n">
        <v>45887</v>
      </c>
      <c r="B222" s="23" t="n">
        <v>177.96042</v>
      </c>
      <c r="C222" s="23" t="n">
        <v>639.882</v>
      </c>
      <c r="D222" s="23" t="n">
        <v>569.85418</v>
      </c>
      <c r="F222" s="25" t="n">
        <f aca="false">(B222-B221)/B221</f>
        <v>-0.0136325897151587</v>
      </c>
      <c r="G222" s="25" t="n">
        <f aca="false">(C222-C221)/C221</f>
        <v>0.00290582858432534</v>
      </c>
      <c r="H222" s="25" t="n">
        <f aca="false">(D222-D221)/D221</f>
        <v>-0.00930127758168836</v>
      </c>
      <c r="J222" s="24" t="n">
        <f aca="false">MAX($B$2:B222)</f>
        <v>182.669638</v>
      </c>
      <c r="K222" s="25" t="n">
        <f aca="false">(B222-J222)/J222</f>
        <v>-0.0257799711630238</v>
      </c>
    </row>
    <row r="223" customFormat="false" ht="15" hidden="false" customHeight="false" outlineLevel="0" collapsed="false">
      <c r="A223" s="22" t="n">
        <v>45894</v>
      </c>
      <c r="B223" s="23" t="n">
        <v>174.151054</v>
      </c>
      <c r="C223" s="23" t="n">
        <v>639.624</v>
      </c>
      <c r="D223" s="23" t="n">
        <v>568.289988</v>
      </c>
      <c r="F223" s="25" t="n">
        <f aca="false">(B223-B222)/B222</f>
        <v>-0.0214056923443989</v>
      </c>
      <c r="G223" s="25" t="n">
        <f aca="false">(C223-C222)/C222</f>
        <v>-0.000403199339878172</v>
      </c>
      <c r="H223" s="25" t="n">
        <f aca="false">(D223-D222)/D222</f>
        <v>-0.00274489870373514</v>
      </c>
      <c r="J223" s="24" t="n">
        <f aca="false">MAX($B$2:B223)</f>
        <v>182.669638</v>
      </c>
      <c r="K223" s="25" t="n">
        <f aca="false">(B223-J223)/J223</f>
        <v>-0.0466338253760595</v>
      </c>
    </row>
    <row r="224" customFormat="false" ht="15" hidden="false" customHeight="false" outlineLevel="0" collapsed="false">
      <c r="A224" s="22" t="n">
        <v>45902</v>
      </c>
      <c r="B224" s="23" t="n">
        <v>166.992244</v>
      </c>
      <c r="C224" s="23" t="n">
        <v>641.796</v>
      </c>
      <c r="D224" s="23" t="n">
        <v>573.92905</v>
      </c>
      <c r="F224" s="25" t="n">
        <f aca="false">(B224-B223)/B223</f>
        <v>-0.0411069002200813</v>
      </c>
      <c r="G224" s="25" t="n">
        <f aca="false">(C224-C223)/C223</f>
        <v>0.00339574500018765</v>
      </c>
      <c r="H224" s="25" t="n">
        <f aca="false">(D224-D223)/D223</f>
        <v>0.0099228600170235</v>
      </c>
      <c r="J224" s="24" t="n">
        <f aca="false">MAX($B$2:B224)</f>
        <v>182.669638</v>
      </c>
      <c r="K224" s="25" t="n">
        <f aca="false">(B224-J224)/J224</f>
        <v>-0.0858237535895264</v>
      </c>
    </row>
    <row r="225" customFormat="false" ht="15" hidden="false" customHeight="false" outlineLevel="0" collapsed="false">
      <c r="A225" s="22" t="n">
        <v>45908</v>
      </c>
      <c r="B225" s="23" t="n">
        <v>177.800475</v>
      </c>
      <c r="C225" s="23" t="n">
        <v>651.88</v>
      </c>
      <c r="D225" s="23" t="n">
        <v>584.489839</v>
      </c>
      <c r="F225" s="25" t="n">
        <f aca="false">(B225-B224)/B224</f>
        <v>0.0647229520432099</v>
      </c>
      <c r="G225" s="25" t="n">
        <f aca="false">(C225-C224)/C224</f>
        <v>0.0157121577572935</v>
      </c>
      <c r="H225" s="25" t="n">
        <f aca="false">(D225-D224)/D224</f>
        <v>0.0184008615699101</v>
      </c>
      <c r="J225" s="24" t="n">
        <f aca="false">MAX($B$2:B225)</f>
        <v>182.669638</v>
      </c>
      <c r="K225" s="25" t="n">
        <f aca="false">(B225-J225)/J225</f>
        <v>-0.0266555682340597</v>
      </c>
    </row>
    <row r="226" customFormat="false" ht="15" hidden="false" customHeight="false" outlineLevel="0" collapsed="false">
      <c r="A226" s="22" t="n">
        <v>45915</v>
      </c>
      <c r="B226" s="23" t="n">
        <v>176.650602</v>
      </c>
      <c r="C226" s="23" t="n">
        <v>659.933</v>
      </c>
      <c r="D226" s="23" t="n">
        <v>597.132896</v>
      </c>
      <c r="F226" s="25" t="n">
        <f aca="false">(B226-B225)/B225</f>
        <v>-0.00646720994418048</v>
      </c>
      <c r="G226" s="25" t="n">
        <f aca="false">(C226-C225)/C225</f>
        <v>0.0123535006442904</v>
      </c>
      <c r="H226" s="25" t="n">
        <f aca="false">(D226-D225)/D225</f>
        <v>0.0216309269321618</v>
      </c>
      <c r="J226" s="24" t="n">
        <f aca="false">MAX($B$2:B226)</f>
        <v>182.669638</v>
      </c>
      <c r="K226" s="25" t="n">
        <f aca="false">(B226-J226)/J226</f>
        <v>-0.0329503910222891</v>
      </c>
    </row>
    <row r="227" customFormat="false" ht="15" hidden="false" customHeight="false" outlineLevel="0" collapsed="false">
      <c r="A227" s="22" t="n">
        <v>45922</v>
      </c>
      <c r="B227" s="23" t="n">
        <v>178.170435</v>
      </c>
      <c r="C227" s="23" t="n">
        <v>658.064</v>
      </c>
      <c r="D227" s="23" t="n">
        <v>594.453681</v>
      </c>
      <c r="F227" s="25" t="n">
        <f aca="false">(B227-B226)/B226</f>
        <v>0.00860361064605942</v>
      </c>
      <c r="G227" s="25" t="n">
        <f aca="false">(C227-C226)/C226</f>
        <v>-0.00283210568345579</v>
      </c>
      <c r="H227" s="25" t="n">
        <f aca="false">(D227-D226)/D226</f>
        <v>-0.00448679853002103</v>
      </c>
      <c r="J227" s="24" t="n">
        <f aca="false">MAX($B$2:B227)</f>
        <v>182.669638</v>
      </c>
      <c r="K227" s="25" t="n">
        <f aca="false">(B227-J227)/J227</f>
        <v>-0.0246302727112209</v>
      </c>
    </row>
    <row r="228" customFormat="false" ht="15" hidden="false" customHeight="false" outlineLevel="0" collapsed="false">
      <c r="A228" s="22" t="n">
        <v>45929</v>
      </c>
      <c r="B228" s="23" t="n">
        <v>187.599399</v>
      </c>
      <c r="C228" s="23" t="n">
        <v>665.412</v>
      </c>
      <c r="D228" s="23" t="n">
        <v>601.645336</v>
      </c>
      <c r="F228" s="25" t="n">
        <f aca="false">(B228-B227)/B227</f>
        <v>0.0529210359732242</v>
      </c>
      <c r="G228" s="25" t="n">
        <f aca="false">(C228-C227)/C227</f>
        <v>0.0111660871890881</v>
      </c>
      <c r="H228" s="25" t="n">
        <f aca="false">(D228-D227)/D227</f>
        <v>0.0120979232358393</v>
      </c>
      <c r="J228" s="24" t="n">
        <f aca="false">MAX($B$2:B228)</f>
        <v>187.599399</v>
      </c>
      <c r="K228" s="25" t="n">
        <f aca="false">(B228-J228)/J228</f>
        <v>0</v>
      </c>
    </row>
    <row r="229" customFormat="false" ht="15" hidden="false" customHeight="false" outlineLevel="0" collapsed="false">
      <c r="A229" s="22" t="n">
        <v>45936</v>
      </c>
      <c r="B229" s="23" t="n">
        <v>183.139889</v>
      </c>
      <c r="C229" s="23" t="n">
        <v>649.314</v>
      </c>
      <c r="D229" s="23" t="n">
        <v>588.000142</v>
      </c>
      <c r="F229" s="25" t="n">
        <f aca="false">(B229-B228)/B228</f>
        <v>-0.0237714514213342</v>
      </c>
      <c r="G229" s="25" t="n">
        <f aca="false">(C229-C228)/C228</f>
        <v>-0.0241925303421039</v>
      </c>
      <c r="H229" s="25" t="n">
        <f aca="false">(D229-D228)/D228</f>
        <v>-0.0226797968562663</v>
      </c>
      <c r="J229" s="24" t="n">
        <f aca="false">MAX($B$2:B229)</f>
        <v>187.599399</v>
      </c>
      <c r="K229" s="25" t="n">
        <f aca="false">(B229-J229)/J229</f>
        <v>-0.0237714514213342</v>
      </c>
    </row>
    <row r="230" customFormat="false" ht="15" hidden="false" customHeight="false" outlineLevel="0" collapsed="false">
      <c r="A230" s="22" t="n">
        <v>45943</v>
      </c>
      <c r="B230" s="23" t="n">
        <v>183.199882</v>
      </c>
      <c r="C230" s="23" t="n">
        <v>660.619</v>
      </c>
      <c r="D230" s="23" t="n">
        <v>602.393428</v>
      </c>
      <c r="F230" s="25" t="n">
        <f aca="false">(B230-B229)/B229</f>
        <v>0.00032758019199188</v>
      </c>
      <c r="G230" s="25" t="n">
        <f aca="false">(C230-C229)/C229</f>
        <v>0.0174106826589294</v>
      </c>
      <c r="H230" s="25" t="n">
        <f aca="false">(D230-D229)/D229</f>
        <v>0.0244783716395769</v>
      </c>
      <c r="J230" s="24" t="n">
        <f aca="false">MAX($B$2:B230)</f>
        <v>187.599399</v>
      </c>
      <c r="K230" s="25" t="n">
        <f aca="false">(B230-J230)/J230</f>
        <v>-0.0234516582859629</v>
      </c>
    </row>
    <row r="231" customFormat="false" ht="15" hidden="false" customHeight="false" outlineLevel="0" collapsed="false">
      <c r="A231" s="22" t="n">
        <v>45950</v>
      </c>
      <c r="B231" s="23" t="n">
        <v>186.239549</v>
      </c>
      <c r="C231" s="23" t="n">
        <v>673.406</v>
      </c>
      <c r="D231" s="23" t="n">
        <v>615.52992</v>
      </c>
      <c r="F231" s="25" t="n">
        <f aca="false">(B231-B230)/B230</f>
        <v>0.0165920794643307</v>
      </c>
      <c r="G231" s="25" t="n">
        <f aca="false">(C231-C230)/C230</f>
        <v>0.0193560887591788</v>
      </c>
      <c r="H231" s="25" t="n">
        <f aca="false">(D231-D230)/D230</f>
        <v>0.0218071635403034</v>
      </c>
      <c r="J231" s="24" t="n">
        <f aca="false">MAX($B$2:B231)</f>
        <v>187.599399</v>
      </c>
      <c r="K231" s="25" t="n">
        <f aca="false">(B231-J231)/J231</f>
        <v>-0.00724869059948318</v>
      </c>
    </row>
    <row r="232" customFormat="false" ht="15" hidden="false" customHeight="false" outlineLevel="0" collapsed="false">
      <c r="A232" s="22" t="n">
        <v>45957</v>
      </c>
      <c r="B232" s="23" t="n">
        <v>202.467766</v>
      </c>
      <c r="C232" s="23" t="n">
        <v>678.189</v>
      </c>
      <c r="D232" s="23" t="n">
        <v>627.469465</v>
      </c>
      <c r="F232" s="25" t="n">
        <f aca="false">(B232-B231)/B231</f>
        <v>0.0871362558980424</v>
      </c>
      <c r="G232" s="25" t="n">
        <f aca="false">(C232-C231)/C231</f>
        <v>0.00710269881765238</v>
      </c>
      <c r="H232" s="25" t="n">
        <f aca="false">(D232-D231)/D231</f>
        <v>0.0193971805627256</v>
      </c>
      <c r="J232" s="24" t="n">
        <f aca="false">MAX($B$2:B232)</f>
        <v>202.467766</v>
      </c>
      <c r="K232" s="25" t="n">
        <f aca="false">(B232-J232)/J232</f>
        <v>0</v>
      </c>
    </row>
    <row r="233" customFormat="false" ht="15" hidden="false" customHeight="false" outlineLevel="0" collapsed="false">
      <c r="A233" s="22" t="n">
        <v>45964</v>
      </c>
      <c r="B233" s="23" t="n">
        <v>188.129341</v>
      </c>
      <c r="C233" s="23" t="n">
        <v>667.162</v>
      </c>
      <c r="D233" s="23" t="n">
        <v>608.188646</v>
      </c>
      <c r="F233" s="25" t="n">
        <f aca="false">(B233-B232)/B232</f>
        <v>-0.070818309913095</v>
      </c>
      <c r="G233" s="25" t="n">
        <f aca="false">(C233-C232)/C232</f>
        <v>-0.0162594792896964</v>
      </c>
      <c r="H233" s="25" t="n">
        <f aca="false">(D233-D232)/D232</f>
        <v>-0.0307279000421161</v>
      </c>
      <c r="J233" s="24" t="n">
        <f aca="false">MAX($B$2:B233)</f>
        <v>202.467766</v>
      </c>
      <c r="K233" s="25" t="n">
        <f aca="false">(B233-J233)/J233</f>
        <v>-0.070818309913095</v>
      </c>
    </row>
    <row r="234" customFormat="false" ht="15" hidden="false" customHeight="false" outlineLevel="0" collapsed="false">
      <c r="A234" s="22" t="n">
        <v>45971</v>
      </c>
      <c r="B234" s="23" t="n">
        <v>190.149119</v>
      </c>
      <c r="C234" s="23" t="n">
        <v>668.117</v>
      </c>
      <c r="D234" s="23" t="n">
        <v>607.310885</v>
      </c>
      <c r="F234" s="25" t="n">
        <f aca="false">(B234-B233)/B233</f>
        <v>0.0107361137250781</v>
      </c>
      <c r="G234" s="25" t="n">
        <f aca="false">(C234-C233)/C233</f>
        <v>0.00143143644272295</v>
      </c>
      <c r="H234" s="25" t="n">
        <f aca="false">(D234-D233)/D233</f>
        <v>-0.00144323805742333</v>
      </c>
      <c r="J234" s="24" t="n">
        <f aca="false">MAX($B$2:B234)</f>
        <v>202.467766</v>
      </c>
      <c r="K234" s="25" t="n">
        <f aca="false">(B234-J234)/J234</f>
        <v>-0.0608425096170617</v>
      </c>
    </row>
    <row r="235" customFormat="false" ht="15" hidden="false" customHeight="false" outlineLevel="0" collapsed="false">
      <c r="A235" s="22" t="n">
        <v>45978</v>
      </c>
      <c r="B235" s="23" t="n">
        <v>178.860359</v>
      </c>
      <c r="C235" s="23" t="n">
        <v>655.29</v>
      </c>
      <c r="D235" s="23" t="n">
        <v>588.568692</v>
      </c>
      <c r="F235" s="25" t="n">
        <f aca="false">(B235-B234)/B234</f>
        <v>-0.0593679321753788</v>
      </c>
      <c r="G235" s="25" t="n">
        <f aca="false">(C235-C234)/C234</f>
        <v>-0.0191987331560191</v>
      </c>
      <c r="H235" s="25" t="n">
        <f aca="false">(D235-D234)/D234</f>
        <v>-0.0308609535295912</v>
      </c>
      <c r="J235" s="24" t="n">
        <f aca="false">MAX($B$2:B235)</f>
        <v>202.467766</v>
      </c>
      <c r="K235" s="25" t="n">
        <f aca="false">(B235-J235)/J235</f>
        <v>-0.116598347808115</v>
      </c>
    </row>
    <row r="236" customFormat="false" ht="15" hidden="false" customHeight="false" outlineLevel="0" collapsed="false">
      <c r="A236" s="22" t="n">
        <v>45985</v>
      </c>
      <c r="B236" s="23" t="n">
        <v>176.980565</v>
      </c>
      <c r="C236" s="23" t="n">
        <v>679.512</v>
      </c>
      <c r="D236" s="23" t="n">
        <v>617.67445</v>
      </c>
      <c r="F236" s="25" t="n">
        <f aca="false">(B236-B235)/B235</f>
        <v>-0.0105098413673651</v>
      </c>
      <c r="G236" s="25" t="n">
        <f aca="false">(C236-C235)/C235</f>
        <v>0.0369637870255917</v>
      </c>
      <c r="H236" s="25" t="n">
        <f aca="false">(D236-D235)/D235</f>
        <v>0.0494517605092048</v>
      </c>
      <c r="J236" s="24" t="n">
        <f aca="false">MAX($B$2:B236)</f>
        <v>202.467766</v>
      </c>
      <c r="K236" s="25" t="n">
        <f aca="false">(B236-J236)/J236</f>
        <v>-0.12588275903632</v>
      </c>
    </row>
    <row r="237" customFormat="false" ht="15" hidden="false" customHeight="false" outlineLevel="0" collapsed="false">
      <c r="A237" s="22" t="n">
        <v>45992</v>
      </c>
      <c r="B237" s="23" t="n">
        <v>182.400128</v>
      </c>
      <c r="C237" s="23" t="n">
        <v>681.798</v>
      </c>
      <c r="D237" s="23" t="n">
        <v>623.888599</v>
      </c>
      <c r="F237" s="25" t="n">
        <f aca="false">(B237-B236)/B236</f>
        <v>0.030622362404595</v>
      </c>
      <c r="G237" s="25" t="n">
        <f aca="false">(C237-C236)/C236</f>
        <v>0.00336417899904646</v>
      </c>
      <c r="H237" s="25" t="n">
        <f aca="false">(D237-D236)/D236</f>
        <v>0.0100605569811088</v>
      </c>
      <c r="J237" s="24" t="n">
        <f aca="false">MAX($B$2:B237)</f>
        <v>202.467766</v>
      </c>
      <c r="K237" s="25" t="n">
        <f aca="false">(B237-J237)/J237</f>
        <v>-0.0991152240994254</v>
      </c>
    </row>
    <row r="238" customFormat="false" ht="15" hidden="false" customHeight="false" outlineLevel="0" collapsed="false">
      <c r="A238" s="22" t="n">
        <v>45999</v>
      </c>
      <c r="B238" s="23" t="n">
        <v>175.010528</v>
      </c>
      <c r="C238" s="23" t="n">
        <v>677.891</v>
      </c>
      <c r="D238" s="23" t="n">
        <v>612.058774</v>
      </c>
      <c r="F238" s="25" t="n">
        <f aca="false">(B238-B237)/B237</f>
        <v>-0.0405131294644706</v>
      </c>
      <c r="G238" s="25" t="n">
        <f aca="false">(C238-C237)/C237</f>
        <v>-0.00573043628758084</v>
      </c>
      <c r="H238" s="25" t="n">
        <f aca="false">(D238-D237)/D237</f>
        <v>-0.0189614380178793</v>
      </c>
      <c r="J238" s="24" t="n">
        <f aca="false">MAX($B$2:B238)</f>
        <v>202.467766</v>
      </c>
      <c r="K238" s="25" t="n">
        <f aca="false">(B238-J238)/J238</f>
        <v>-0.135612885658056</v>
      </c>
    </row>
    <row r="239" customFormat="false" ht="15" hidden="false" customHeight="false" outlineLevel="0" collapsed="false">
      <c r="A239" s="22" t="n">
        <v>46006</v>
      </c>
      <c r="B239" s="23" t="n">
        <v>180.980205</v>
      </c>
      <c r="C239" s="23" t="n">
        <v>678.709</v>
      </c>
      <c r="D239" s="23" t="n">
        <v>615.480047</v>
      </c>
      <c r="F239" s="25" t="n">
        <f aca="false">(B239-B238)/B238</f>
        <v>0.0341103879190629</v>
      </c>
      <c r="G239" s="25" t="n">
        <f aca="false">(C239-C238)/C238</f>
        <v>0.00120668367038356</v>
      </c>
      <c r="H239" s="25" t="n">
        <f aca="false">(D239-D238)/D238</f>
        <v>0.00558977853979762</v>
      </c>
      <c r="J239" s="24" t="n">
        <f aca="false">MAX($B$2:B239)</f>
        <v>202.467766</v>
      </c>
      <c r="K239" s="25" t="n">
        <f aca="false">(B239-J239)/J239</f>
        <v>-0.106128305875613</v>
      </c>
    </row>
    <row r="240" customFormat="false" ht="15" hidden="false" customHeight="false" outlineLevel="0" collapsed="false">
      <c r="A240" s="22" t="n">
        <v>46013</v>
      </c>
      <c r="B240" s="23" t="n">
        <v>190.519688</v>
      </c>
      <c r="C240" s="23" t="n">
        <v>688.403</v>
      </c>
      <c r="D240" s="23" t="n">
        <v>623.104516</v>
      </c>
      <c r="F240" s="25" t="n">
        <f aca="false">(B240-B239)/B239</f>
        <v>0.0527100905869788</v>
      </c>
      <c r="G240" s="25" t="n">
        <f aca="false">(C240-C239)/C239</f>
        <v>0.0142829990467197</v>
      </c>
      <c r="H240" s="25" t="n">
        <f aca="false">(D240-D239)/D239</f>
        <v>0.0123878410635138</v>
      </c>
      <c r="J240" s="24" t="n">
        <f aca="false">MAX($B$2:B240)</f>
        <v>202.467766</v>
      </c>
      <c r="K240" s="25" t="n">
        <f aca="false">(B240-J240)/J240</f>
        <v>-0.0590122479051802</v>
      </c>
    </row>
    <row r="241" customFormat="false" ht="15" hidden="false" customHeight="false" outlineLevel="0" collapsed="false">
      <c r="A241" s="22" t="n">
        <v>46020</v>
      </c>
      <c r="B241" s="23" t="n">
        <v>188.839779</v>
      </c>
      <c r="C241" s="23" t="n">
        <v>681.282</v>
      </c>
      <c r="D241" s="23" t="n">
        <v>612.348075</v>
      </c>
      <c r="F241" s="25" t="n">
        <f aca="false">(B241-B240)/B240</f>
        <v>-0.00881750866608604</v>
      </c>
      <c r="G241" s="25" t="n">
        <f aca="false">(C241-C240)/C240</f>
        <v>-0.0103442315039301</v>
      </c>
      <c r="H241" s="25" t="n">
        <f aca="false">(D241-D240)/D240</f>
        <v>-0.0172626593513567</v>
      </c>
      <c r="J241" s="24" t="n">
        <f aca="false">MAX($B$2:B241)</f>
        <v>202.467766</v>
      </c>
      <c r="K241" s="25" t="n">
        <f aca="false">(B241-J241)/J241</f>
        <v>-0.0673094155639571</v>
      </c>
    </row>
    <row r="242" customFormat="false" ht="15" hidden="false" customHeight="false" outlineLevel="0" collapsed="false">
      <c r="A242" s="22" t="n">
        <v>46027</v>
      </c>
      <c r="B242" s="23" t="n">
        <v>184.849995</v>
      </c>
      <c r="C242" s="23" t="n">
        <v>692.152</v>
      </c>
      <c r="D242" s="23" t="n">
        <v>625.861041</v>
      </c>
      <c r="F242" s="25" t="n">
        <f aca="false">(B242-B241)/B241</f>
        <v>-0.0211278789941816</v>
      </c>
      <c r="G242" s="25" t="n">
        <f aca="false">(C242-C241)/C241</f>
        <v>0.0159552138468358</v>
      </c>
      <c r="H242" s="25" t="n">
        <f aca="false">(D242-D241)/D241</f>
        <v>0.0220674589366514</v>
      </c>
      <c r="J242" s="24" t="n">
        <f aca="false">MAX($B$2:B242)</f>
        <v>202.467766</v>
      </c>
      <c r="K242" s="25" t="n">
        <f aca="false">(B242-J242)/J242</f>
        <v>-0.0870151893709343</v>
      </c>
    </row>
    <row r="243" customFormat="false" ht="15" hidden="false" customHeight="false" outlineLevel="0" collapsed="false">
      <c r="A243" s="22" t="n">
        <v>46034</v>
      </c>
      <c r="B243" s="23" t="n">
        <v>186.219921</v>
      </c>
      <c r="C243" s="23" t="n">
        <v>689.749</v>
      </c>
      <c r="D243" s="23" t="n">
        <v>620.477827</v>
      </c>
      <c r="F243" s="25" t="n">
        <f aca="false">(B243-B242)/B242</f>
        <v>0.00741101453640825</v>
      </c>
      <c r="G243" s="25" t="n">
        <f aca="false">(C243-C242)/C242</f>
        <v>-0.00347178076491872</v>
      </c>
      <c r="H243" s="25" t="n">
        <f aca="false">(D243-D242)/D242</f>
        <v>-0.00860129269493858</v>
      </c>
      <c r="J243" s="24" t="n">
        <f aca="false">MAX($B$2:B243)</f>
        <v>202.467766</v>
      </c>
      <c r="K243" s="25" t="n">
        <f aca="false">(B243-J243)/J243</f>
        <v>-0.0802490456678423</v>
      </c>
    </row>
    <row r="244" customFormat="false" ht="15" hidden="false" customHeight="false" outlineLevel="0" collapsed="false">
      <c r="A244" s="22" t="n">
        <v>46042</v>
      </c>
      <c r="B244" s="23" t="n">
        <v>187.659843</v>
      </c>
      <c r="C244" s="23" t="n">
        <v>687.326</v>
      </c>
      <c r="D244" s="23" t="n">
        <v>621.935989</v>
      </c>
      <c r="F244" s="25" t="n">
        <f aca="false">(B244-B243)/B243</f>
        <v>0.0077323735949818</v>
      </c>
      <c r="G244" s="25" t="n">
        <f aca="false">(C244-C243)/C243</f>
        <v>-0.00351287207375437</v>
      </c>
      <c r="H244" s="25" t="n">
        <f aca="false">(D244-D243)/D243</f>
        <v>0.00235006302650667</v>
      </c>
      <c r="J244" s="24" t="n">
        <f aca="false">MAX($B$2:B244)</f>
        <v>202.467766</v>
      </c>
      <c r="K244" s="25" t="n">
        <f aca="false">(B244-J244)/J244</f>
        <v>-0.073137187674605</v>
      </c>
    </row>
    <row r="245" customFormat="false" ht="15" hidden="false" customHeight="false" outlineLevel="0" collapsed="false">
      <c r="A245" s="22" t="n">
        <v>46048</v>
      </c>
      <c r="B245" s="23" t="n">
        <v>191.119656</v>
      </c>
      <c r="C245" s="23" t="n">
        <v>690.058</v>
      </c>
      <c r="D245" s="23" t="n">
        <v>621.087059</v>
      </c>
      <c r="F245" s="25" t="n">
        <f aca="false">(B245-B244)/B244</f>
        <v>0.0184366188561716</v>
      </c>
      <c r="G245" s="25" t="n">
        <f aca="false">(C245-C244)/C244</f>
        <v>0.00397482417368173</v>
      </c>
      <c r="H245" s="25" t="n">
        <f aca="false">(D245-D244)/D244</f>
        <v>-0.0013649797005074</v>
      </c>
      <c r="J245" s="24" t="n">
        <f aca="false">MAX($B$2:B245)</f>
        <v>202.467766</v>
      </c>
      <c r="K245" s="25" t="n">
        <f aca="false">(B245-J245)/J245</f>
        <v>-0.0560489712718024</v>
      </c>
    </row>
    <row r="246" customFormat="false" ht="15" hidden="false" customHeight="false" outlineLevel="0" collapsed="false">
      <c r="A246" s="22" t="n">
        <v>46055</v>
      </c>
      <c r="B246" s="23" t="n">
        <v>185.399965</v>
      </c>
      <c r="C246" s="23" t="n">
        <v>688.712</v>
      </c>
      <c r="D246" s="23" t="n">
        <v>608.882444</v>
      </c>
      <c r="F246" s="25" t="n">
        <f aca="false">(B246-B245)/B245</f>
        <v>-0.029927277600374</v>
      </c>
      <c r="G246" s="25" t="n">
        <f aca="false">(C246-C245)/C245</f>
        <v>-0.00195056067750827</v>
      </c>
      <c r="H246" s="25" t="n">
        <f aca="false">(D246-D245)/D245</f>
        <v>-0.0196504094283504</v>
      </c>
      <c r="J246" s="24" t="n">
        <f aca="false">MAX($B$2:B246)</f>
        <v>202.467766</v>
      </c>
      <c r="K246" s="25" t="n">
        <f aca="false">(B246-J246)/J246</f>
        <v>-0.0842988557497098</v>
      </c>
    </row>
    <row r="247" customFormat="false" ht="15" hidden="false" customHeight="false" outlineLevel="0" collapsed="false">
      <c r="A247" s="22" t="n">
        <v>46062</v>
      </c>
      <c r="B247" s="23" t="n">
        <v>182.800106</v>
      </c>
      <c r="C247" s="23" t="n">
        <v>679.866</v>
      </c>
      <c r="D247" s="23" t="n">
        <v>601.162176</v>
      </c>
      <c r="F247" s="25" t="n">
        <f aca="false">(B247-B246)/B246</f>
        <v>-0.0140229745998065</v>
      </c>
      <c r="G247" s="25" t="n">
        <f aca="false">(C247-C246)/C246</f>
        <v>-0.0128442658179326</v>
      </c>
      <c r="H247" s="25" t="n">
        <f aca="false">(D247-D246)/D246</f>
        <v>-0.0126794064701263</v>
      </c>
      <c r="J247" s="24" t="n">
        <f aca="false">MAX($B$2:B247)</f>
        <v>202.467766</v>
      </c>
      <c r="K247" s="25" t="n">
        <f aca="false">(B247-J247)/J247</f>
        <v>-0.0971397096365454</v>
      </c>
    </row>
    <row r="248" customFormat="false" ht="15" hidden="false" customHeight="false" outlineLevel="0" collapsed="false">
      <c r="A248" s="22" t="n">
        <v>46070</v>
      </c>
      <c r="B248" s="23" t="n">
        <v>189.809727</v>
      </c>
      <c r="C248" s="23" t="n">
        <v>687.525</v>
      </c>
      <c r="D248" s="23" t="n">
        <v>608.043501</v>
      </c>
      <c r="F248" s="25" t="n">
        <f aca="false">(B248-B247)/B247</f>
        <v>0.038345825685681</v>
      </c>
      <c r="G248" s="25" t="n">
        <f aca="false">(C248-C247)/C247</f>
        <v>0.011265455251476</v>
      </c>
      <c r="H248" s="25" t="n">
        <f aca="false">(D248-D247)/D247</f>
        <v>0.0114467031937817</v>
      </c>
      <c r="J248" s="24" t="n">
        <f aca="false">MAX($B$2:B248)</f>
        <v>202.467766</v>
      </c>
      <c r="K248" s="25" t="n">
        <f aca="false">(B248-J248)/J248</f>
        <v>-0.062518786323745</v>
      </c>
    </row>
    <row r="249" customFormat="false" ht="15" hidden="false" customHeight="false" outlineLevel="0" collapsed="false">
      <c r="A249" s="22" t="n">
        <v>46076</v>
      </c>
      <c r="B249" s="23" t="n">
        <v>177.18041</v>
      </c>
      <c r="C249" s="23" t="n">
        <v>684.095</v>
      </c>
      <c r="D249" s="23" t="n">
        <v>606.525415</v>
      </c>
      <c r="F249" s="25" t="n">
        <f aca="false">(B249-B248)/B248</f>
        <v>-0.066536721798246</v>
      </c>
      <c r="G249" s="25" t="n">
        <f aca="false">(C249-C248)/C248</f>
        <v>-0.00498890949420014</v>
      </c>
      <c r="H249" s="25" t="n">
        <f aca="false">(D249-D248)/D248</f>
        <v>-0.00249667334245554</v>
      </c>
      <c r="J249" s="24" t="n">
        <f aca="false">MAX($B$2:B249)</f>
        <v>202.467766</v>
      </c>
      <c r="K249" s="25" t="n">
        <f aca="false">(B249-J249)/J249</f>
        <v>-0.124895713029204</v>
      </c>
    </row>
    <row r="250" customFormat="false" ht="15" hidden="false" customHeight="false" outlineLevel="0" collapsed="false">
      <c r="A250" s="22" t="n">
        <v>46083</v>
      </c>
      <c r="B250" s="23" t="n">
        <v>177.810376</v>
      </c>
      <c r="C250" s="23" t="n">
        <v>670.522</v>
      </c>
      <c r="D250" s="23" t="n">
        <v>598.994908</v>
      </c>
      <c r="F250" s="25" t="n">
        <f aca="false">(B250-B249)/B249</f>
        <v>0.00355550593883373</v>
      </c>
      <c r="G250" s="25" t="n">
        <f aca="false">(C250-C249)/C249</f>
        <v>-0.0198408115831865</v>
      </c>
      <c r="H250" s="25" t="n">
        <f aca="false">(D250-D249)/D249</f>
        <v>-0.0124158144304636</v>
      </c>
      <c r="J250" s="24" t="n">
        <f aca="false">MAX($B$2:B250)</f>
        <v>202.467766</v>
      </c>
      <c r="K250" s="25" t="n">
        <f aca="false">(B250-J250)/J250</f>
        <v>-0.12178427453978</v>
      </c>
    </row>
    <row r="251" customFormat="false" ht="15" hidden="false" customHeight="false" outlineLevel="0" collapsed="false">
      <c r="A251" s="22" t="n">
        <v>46090</v>
      </c>
      <c r="B251" s="23" t="n">
        <v>180.25</v>
      </c>
      <c r="C251" s="23" t="n">
        <v>660.46</v>
      </c>
      <c r="D251" s="23" t="n">
        <v>592.9725</v>
      </c>
      <c r="F251" s="25" t="n">
        <f aca="false">(B251-B250)/B250</f>
        <v>0.0137203691645082</v>
      </c>
      <c r="G251" s="25" t="n">
        <f aca="false">(C251-C250)/C250</f>
        <v>-0.0150062190353188</v>
      </c>
      <c r="H251" s="25" t="n">
        <f aca="false">(D251-D250)/D250</f>
        <v>-0.0100541889748419</v>
      </c>
      <c r="J251" s="24" t="n">
        <f aca="false">MAX($B$2:B251)</f>
        <v>202.467766</v>
      </c>
      <c r="K251" s="25" t="n">
        <f aca="false">(B251-J251)/J251</f>
        <v>-0.10973483058039</v>
      </c>
    </row>
    <row r="252" customFormat="false" ht="15" hidden="false" customHeight="false" outlineLevel="0" collapsed="false">
      <c r="A252" s="22" t="n">
        <v>46097</v>
      </c>
      <c r="B252" s="23" t="n">
        <v>172.7</v>
      </c>
      <c r="C252" s="23" t="n">
        <v>648.57</v>
      </c>
      <c r="D252" s="23" t="n">
        <v>581.32718</v>
      </c>
      <c r="F252" s="25" t="n">
        <f aca="false">(B252-B251)/B251</f>
        <v>-0.0418862690707352</v>
      </c>
      <c r="G252" s="25" t="n">
        <f aca="false">(C252-C251)/C251</f>
        <v>-0.0180026042455258</v>
      </c>
      <c r="H252" s="25" t="n">
        <f aca="false">(D252-D251)/D251</f>
        <v>-0.0196388871322025</v>
      </c>
      <c r="J252" s="24" t="n">
        <f aca="false">MAX($B$2:B252)</f>
        <v>202.467766</v>
      </c>
      <c r="K252" s="25" t="n">
        <f aca="false">(B252-J252)/J252</f>
        <v>-0.147024717011003</v>
      </c>
    </row>
    <row r="253" customFormat="false" ht="15" hidden="false" customHeight="false" outlineLevel="0" collapsed="false">
      <c r="A253" s="22" t="n">
        <v>46104</v>
      </c>
      <c r="B253" s="23" t="n">
        <v>167.52</v>
      </c>
      <c r="C253" s="23" t="n">
        <v>634.09</v>
      </c>
      <c r="D253" s="23" t="n">
        <v>562.58</v>
      </c>
      <c r="F253" s="25" t="n">
        <f aca="false">(B253-B252)/B252</f>
        <v>-0.0299942096120439</v>
      </c>
      <c r="G253" s="25" t="n">
        <f aca="false">(C253-C252)/C252</f>
        <v>-0.0223260403657277</v>
      </c>
      <c r="H253" s="25" t="n">
        <f aca="false">(D253-D252)/D252</f>
        <v>-0.0322489308000358</v>
      </c>
      <c r="J253" s="24" t="n">
        <f aca="false">MAX($B$2:B253)</f>
        <v>202.467766</v>
      </c>
      <c r="K253" s="25" t="n">
        <f aca="false">(B253-J253)/J253</f>
        <v>-0.172609036442868</v>
      </c>
    </row>
    <row r="254" customFormat="false" ht="15" hidden="false" customHeight="false" outlineLevel="0" collapsed="false">
      <c r="A254" s="22" t="n">
        <v>46111</v>
      </c>
      <c r="B254" s="23" t="n">
        <v>177.39</v>
      </c>
      <c r="C254" s="23" t="n">
        <v>655.83</v>
      </c>
      <c r="D254" s="23" t="n">
        <v>584.98</v>
      </c>
      <c r="F254" s="25" t="n">
        <f aca="false">(B254-B253)/B253</f>
        <v>0.0589183381088824</v>
      </c>
      <c r="G254" s="25" t="n">
        <f aca="false">(C254-C253)/C253</f>
        <v>0.0342853538141273</v>
      </c>
      <c r="H254" s="25" t="n">
        <f aca="false">(D254-D253)/D253</f>
        <v>0.0398165594226598</v>
      </c>
      <c r="J254" s="24" t="n">
        <f aca="false">MAX($B$2:B254)</f>
        <v>202.467766</v>
      </c>
      <c r="K254" s="25" t="n">
        <f aca="false">(B254-J254)/J254</f>
        <v>-0.123860535903775</v>
      </c>
    </row>
    <row r="255" customFormat="false" ht="15" hidden="false" customHeight="false" outlineLevel="0" collapsed="false">
      <c r="A255" s="22" t="n">
        <v>46118</v>
      </c>
      <c r="B255" s="23" t="n">
        <v>188.63</v>
      </c>
      <c r="C255" s="23" t="n">
        <v>679.46</v>
      </c>
      <c r="D255" s="23" t="n">
        <v>611.07</v>
      </c>
      <c r="F255" s="25" t="n">
        <f aca="false">(B255-B254)/B254</f>
        <v>0.0633632110040025</v>
      </c>
      <c r="G255" s="25" t="n">
        <f aca="false">(C255-C254)/C254</f>
        <v>0.0360306786819755</v>
      </c>
      <c r="H255" s="25" t="n">
        <f aca="false">(D255-D254)/D254</f>
        <v>0.0445998153783036</v>
      </c>
      <c r="J255" s="24" t="n">
        <f aca="false">MAX($B$2:B255)</f>
        <v>202.467766</v>
      </c>
      <c r="K255" s="25" t="n">
        <f aca="false">(B255-J255)/J255</f>
        <v>-0.0683455261713117</v>
      </c>
    </row>
    <row r="256" customFormat="false" ht="15" hidden="false" customHeight="false" outlineLevel="0" collapsed="false">
      <c r="A256" s="22" t="n">
        <v>46125</v>
      </c>
      <c r="B256" s="23" t="n">
        <v>201.68</v>
      </c>
      <c r="C256" s="23" t="n">
        <v>710.14</v>
      </c>
      <c r="D256" s="23" t="n">
        <v>648.85</v>
      </c>
      <c r="F256" s="25" t="n">
        <f aca="false">(B256-B255)/B255</f>
        <v>0.0691830567778191</v>
      </c>
      <c r="G256" s="25" t="n">
        <f aca="false">(C256-C255)/C255</f>
        <v>0.0451535042533776</v>
      </c>
      <c r="H256" s="25" t="n">
        <f aca="false">(D256-D255)/D255</f>
        <v>0.0618259773839331</v>
      </c>
      <c r="J256" s="24" t="n">
        <f aca="false">MAX($B$2:B256)</f>
        <v>202.467766</v>
      </c>
      <c r="K256" s="25" t="n">
        <f aca="false">(B256-J256)/J256</f>
        <v>-0.00389082181111242</v>
      </c>
    </row>
    <row r="257" customFormat="false" ht="15" hidden="false" customHeight="false" outlineLevel="0" collapsed="false">
      <c r="A257" s="22" t="n">
        <v>46132</v>
      </c>
      <c r="B257" s="23" t="n">
        <v>208.27</v>
      </c>
      <c r="C257" s="23" t="n">
        <v>713.94</v>
      </c>
      <c r="D257" s="23" t="n">
        <v>663.88</v>
      </c>
      <c r="F257" s="25" t="n">
        <f aca="false">(B257-B256)/B256</f>
        <v>0.0326755255850853</v>
      </c>
      <c r="G257" s="25" t="n">
        <f aca="false">(C257-C256)/C256</f>
        <v>0.00535105753795036</v>
      </c>
      <c r="H257" s="25" t="n">
        <f aca="false">(D257-D256)/D256</f>
        <v>0.0231640594898666</v>
      </c>
      <c r="J257" s="24" t="n">
        <f aca="false">MAX($B$2:B257)</f>
        <v>208.27</v>
      </c>
      <c r="K257" s="25" t="n">
        <f aca="false">(B257-J257)/J257</f>
        <v>0</v>
      </c>
    </row>
    <row r="258" customFormat="false" ht="15" hidden="false" customHeight="false" outlineLevel="0" collapsed="false">
      <c r="A258" s="22" t="n">
        <v>46139</v>
      </c>
      <c r="B258" s="23" t="n">
        <v>198.45</v>
      </c>
      <c r="C258" s="23" t="n">
        <v>720.65</v>
      </c>
      <c r="D258" s="23" t="n">
        <v>674.15</v>
      </c>
      <c r="F258" s="25" t="n">
        <f aca="false">(B258-B257)/B257</f>
        <v>-0.0471503337014453</v>
      </c>
      <c r="G258" s="25" t="n">
        <f aca="false">(C258-C257)/C257</f>
        <v>0.00939854889766636</v>
      </c>
      <c r="H258" s="25" t="n">
        <f aca="false">(D258-D257)/D257</f>
        <v>0.0154696631921431</v>
      </c>
      <c r="J258" s="24" t="n">
        <f aca="false">MAX($B$2:B258)</f>
        <v>208.27</v>
      </c>
      <c r="K258" s="25" t="n">
        <f aca="false">(B258-J258)/J258</f>
        <v>-0.0471503337014453</v>
      </c>
    </row>
    <row r="259" customFormat="false" ht="15" hidden="false" customHeight="false" outlineLevel="0" collapsed="false">
      <c r="A259" s="22" t="n">
        <v>46146</v>
      </c>
      <c r="B259" s="23" t="n">
        <v>215.2</v>
      </c>
      <c r="C259" s="23" t="n">
        <v>737.62</v>
      </c>
      <c r="D259" s="23" t="n">
        <v>711.23</v>
      </c>
      <c r="F259" s="25" t="n">
        <f aca="false">(B259-B258)/B258</f>
        <v>0.0844041320231797</v>
      </c>
      <c r="G259" s="25" t="n">
        <f aca="false">(C259-C258)/C258</f>
        <v>0.0235481856657185</v>
      </c>
      <c r="H259" s="25" t="n">
        <f aca="false">(D259-D258)/D258</f>
        <v>0.0550025958614552</v>
      </c>
      <c r="J259" s="24" t="n">
        <f aca="false">MAX($B$2:B259)</f>
        <v>215.2</v>
      </c>
      <c r="K259" s="25" t="n">
        <f aca="false">(B259-J259)/J259</f>
        <v>0</v>
      </c>
    </row>
    <row r="260" customFormat="false" ht="15" hidden="false" customHeight="false" outlineLevel="0" collapsed="false">
      <c r="A260" s="22" t="n">
        <v>46153</v>
      </c>
      <c r="B260" s="23" t="n">
        <v>225.32</v>
      </c>
      <c r="C260" s="23" t="n">
        <v>739.17</v>
      </c>
      <c r="D260" s="23" t="n">
        <v>708.93</v>
      </c>
      <c r="F260" s="25" t="n">
        <f aca="false">(B260-B259)/B259</f>
        <v>0.0470260223048327</v>
      </c>
      <c r="G260" s="25" t="n">
        <f aca="false">(C260-C259)/C259</f>
        <v>0.00210135300018974</v>
      </c>
      <c r="H260" s="25" t="n">
        <f aca="false">(D260-D259)/D259</f>
        <v>-0.00323383434332082</v>
      </c>
      <c r="J260" s="24" t="n">
        <f aca="false">MAX($B$2:B260)</f>
        <v>225.32</v>
      </c>
      <c r="K260" s="25" t="n">
        <f aca="false">(B260-J260)/J260</f>
        <v>0</v>
      </c>
    </row>
    <row r="261" customFormat="false" ht="15" hidden="false" customHeight="false" outlineLevel="0" collapsed="false">
      <c r="A261" s="22" t="n">
        <v>46160</v>
      </c>
      <c r="B261" s="23" t="n">
        <v>215.33</v>
      </c>
      <c r="C261" s="23" t="n">
        <v>745.64</v>
      </c>
      <c r="D261" s="23" t="n">
        <v>717.54</v>
      </c>
      <c r="F261" s="25" t="n">
        <f aca="false">(B261-B260)/B260</f>
        <v>-0.0443369430143795</v>
      </c>
      <c r="G261" s="25" t="n">
        <f aca="false">(C261-C260)/C260</f>
        <v>0.00875306086556547</v>
      </c>
      <c r="H261" s="25" t="n">
        <f aca="false">(D261-D260)/D260</f>
        <v>0.0121450636875291</v>
      </c>
      <c r="J261" s="24" t="n">
        <f aca="false">MAX($B$2:B261)</f>
        <v>225.32</v>
      </c>
      <c r="K261" s="25" t="n">
        <f aca="false">(B261-J261)/J261</f>
        <v>-0.0443369430143795</v>
      </c>
    </row>
    <row r="262" customFormat="false" ht="15" hidden="false" customHeight="false" outlineLevel="0" collapsed="false">
      <c r="A262" s="22" t="n">
        <v>46168</v>
      </c>
      <c r="B262" s="23" t="n">
        <v>214.25</v>
      </c>
      <c r="C262" s="23" t="n">
        <v>756.48</v>
      </c>
      <c r="D262" s="23" t="n">
        <v>738.31</v>
      </c>
      <c r="F262" s="25" t="n">
        <f aca="false">(B262-B261)/B261</f>
        <v>-0.00501555751637028</v>
      </c>
      <c r="G262" s="25" t="n">
        <f aca="false">(C262-C261)/C261</f>
        <v>0.014537846682045</v>
      </c>
      <c r="H262" s="25" t="n">
        <f aca="false">(D262-D261)/D261</f>
        <v>0.02894612147058</v>
      </c>
      <c r="J262" s="24" t="n">
        <f aca="false">MAX($B$2:B262)</f>
        <v>225.32</v>
      </c>
      <c r="K262" s="25" t="n">
        <f aca="false">(B262-J262)/J262</f>
        <v>-0.0491301260429611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21" t="s">
        <v>57</v>
      </c>
      <c r="B1" s="21" t="s">
        <v>58</v>
      </c>
      <c r="C1" s="21" t="s">
        <v>59</v>
      </c>
      <c r="E1" s="21" t="s">
        <v>62</v>
      </c>
      <c r="F1" s="21" t="s">
        <v>63</v>
      </c>
    </row>
    <row r="2" customFormat="false" ht="15" hidden="false" customHeight="false" outlineLevel="0" collapsed="false">
      <c r="A2" s="22" t="n">
        <v>44377</v>
      </c>
      <c r="B2" s="23" t="n">
        <v>20.440177</v>
      </c>
      <c r="C2" s="23" t="n">
        <v>406.323</v>
      </c>
    </row>
    <row r="3" customFormat="false" ht="15" hidden="false" customHeight="false" outlineLevel="0" collapsed="false">
      <c r="A3" s="22" t="n">
        <v>44408</v>
      </c>
      <c r="B3" s="23" t="n">
        <v>19.454435</v>
      </c>
      <c r="C3" s="23" t="n">
        <v>410.811</v>
      </c>
      <c r="E3" s="25" t="n">
        <f aca="false">(B3-B2)/B2</f>
        <v>-0.0482257076345277</v>
      </c>
      <c r="F3" s="25" t="n">
        <f aca="false">(C3-C2)/C2</f>
        <v>0.0110453998419976</v>
      </c>
    </row>
    <row r="4" customFormat="false" ht="15" hidden="false" customHeight="false" outlineLevel="0" collapsed="false">
      <c r="A4" s="22" t="n">
        <v>44439</v>
      </c>
      <c r="B4" s="23" t="n">
        <v>22.794811</v>
      </c>
      <c r="C4" s="23" t="n">
        <v>424.46</v>
      </c>
      <c r="E4" s="25" t="n">
        <f aca="false">(B4-B3)/B3</f>
        <v>0.171702544946692</v>
      </c>
      <c r="F4" s="25" t="n">
        <f aca="false">(C4-C3)/C3</f>
        <v>0.0332245241729165</v>
      </c>
    </row>
    <row r="5" customFormat="false" ht="15" hidden="false" customHeight="false" outlineLevel="0" collapsed="false">
      <c r="A5" s="22" t="n">
        <v>44469</v>
      </c>
      <c r="B5" s="23" t="n">
        <v>20.698243</v>
      </c>
      <c r="C5" s="23" t="n">
        <v>408.127</v>
      </c>
      <c r="E5" s="25" t="n">
        <f aca="false">(B5-B4)/B4</f>
        <v>-0.0919756693749291</v>
      </c>
      <c r="F5" s="25" t="n">
        <f aca="false">(C5-C4)/C4</f>
        <v>-0.0384794798096404</v>
      </c>
    </row>
    <row r="6" customFormat="false" ht="15" hidden="false" customHeight="false" outlineLevel="0" collapsed="false">
      <c r="A6" s="22" t="n">
        <v>44500</v>
      </c>
      <c r="B6" s="23" t="n">
        <v>25.513064</v>
      </c>
      <c r="C6" s="23" t="n">
        <v>431.633</v>
      </c>
      <c r="E6" s="25" t="n">
        <f aca="false">(B6-B5)/B5</f>
        <v>0.232619792897397</v>
      </c>
      <c r="F6" s="25" t="n">
        <f aca="false">(C6-C5)/C5</f>
        <v>0.057594817299517</v>
      </c>
    </row>
    <row r="7" customFormat="false" ht="15" hidden="false" customHeight="false" outlineLevel="0" collapsed="false">
      <c r="A7" s="22" t="n">
        <v>44530</v>
      </c>
      <c r="B7" s="23" t="n">
        <v>30.632</v>
      </c>
      <c r="C7" s="23" t="n">
        <v>426.153</v>
      </c>
      <c r="E7" s="25" t="n">
        <f aca="false">(B7-B6)/B6</f>
        <v>0.200639797713046</v>
      </c>
      <c r="F7" s="25" t="n">
        <f aca="false">(C7-C6)/C6</f>
        <v>-0.0126959708826711</v>
      </c>
    </row>
    <row r="8" customFormat="false" ht="15" hidden="false" customHeight="false" outlineLevel="0" collapsed="false">
      <c r="A8" s="22" t="n">
        <v>44561</v>
      </c>
      <c r="B8" s="23" t="n">
        <v>29.352548</v>
      </c>
      <c r="C8" s="23" t="n">
        <v>447.983</v>
      </c>
      <c r="E8" s="25" t="n">
        <f aca="false">(B8-B7)/B7</f>
        <v>-0.0417684774092453</v>
      </c>
      <c r="F8" s="25" t="n">
        <f aca="false">(C8-C7)/C7</f>
        <v>0.0512257334806982</v>
      </c>
    </row>
    <row r="9" customFormat="false" ht="15" hidden="false" customHeight="false" outlineLevel="0" collapsed="false">
      <c r="A9" s="22" t="n">
        <v>44592</v>
      </c>
      <c r="B9" s="23" t="n">
        <v>24.270668</v>
      </c>
      <c r="C9" s="23" t="n">
        <v>423.215</v>
      </c>
      <c r="E9" s="25" t="n">
        <f aca="false">(B9-B8)/B8</f>
        <v>-0.173132499434121</v>
      </c>
      <c r="F9" s="25" t="n">
        <f aca="false">(C9-C8)/C8</f>
        <v>-0.0552878122607332</v>
      </c>
    </row>
    <row r="10" customFormat="false" ht="15" hidden="false" customHeight="false" outlineLevel="0" collapsed="false">
      <c r="A10" s="22" t="n">
        <v>44620</v>
      </c>
      <c r="B10" s="23" t="n">
        <v>22.894317</v>
      </c>
      <c r="C10" s="23" t="n">
        <v>407.624</v>
      </c>
      <c r="E10" s="25" t="n">
        <f aca="false">(B10-B9)/B9</f>
        <v>-0.0567084103329995</v>
      </c>
      <c r="F10" s="25" t="n">
        <f aca="false">(C10-C9)/C9</f>
        <v>-0.0368394314946303</v>
      </c>
    </row>
    <row r="11" customFormat="false" ht="15" hidden="false" customHeight="false" outlineLevel="0" collapsed="false">
      <c r="A11" s="22" t="n">
        <v>44651</v>
      </c>
      <c r="B11" s="23" t="n">
        <v>26.663455</v>
      </c>
      <c r="C11" s="23" t="n">
        <v>428.508</v>
      </c>
      <c r="E11" s="25" t="n">
        <f aca="false">(B11-B10)/B10</f>
        <v>0.16463203510286</v>
      </c>
      <c r="F11" s="25" t="n">
        <f aca="false">(C11-C10)/C10</f>
        <v>0.0512334896865738</v>
      </c>
    </row>
    <row r="12" customFormat="false" ht="15" hidden="false" customHeight="false" outlineLevel="0" collapsed="false">
      <c r="A12" s="22" t="n">
        <v>44681</v>
      </c>
      <c r="B12" s="23" t="n">
        <v>18.513294</v>
      </c>
      <c r="C12" s="23" t="n">
        <v>389.794</v>
      </c>
      <c r="E12" s="25" t="n">
        <f aca="false">(B12-B11)/B11</f>
        <v>-0.30566785137185</v>
      </c>
      <c r="F12" s="25" t="n">
        <f aca="false">(C12-C11)/C11</f>
        <v>-0.0903460378802729</v>
      </c>
    </row>
    <row r="13" customFormat="false" ht="15" hidden="false" customHeight="false" outlineLevel="0" collapsed="false">
      <c r="A13" s="22" t="n">
        <v>44712</v>
      </c>
      <c r="B13" s="23" t="n">
        <v>18.685979</v>
      </c>
      <c r="C13" s="23" t="n">
        <v>388.412</v>
      </c>
      <c r="E13" s="25" t="n">
        <f aca="false">(B13-B12)/B12</f>
        <v>0.00932762154590109</v>
      </c>
      <c r="F13" s="25" t="n">
        <f aca="false">(C13-C12)/C12</f>
        <v>-0.00354546247505094</v>
      </c>
    </row>
    <row r="14" customFormat="false" ht="15" hidden="false" customHeight="false" outlineLevel="0" collapsed="false">
      <c r="A14" s="22" t="n">
        <v>44742</v>
      </c>
      <c r="B14" s="23" t="n">
        <v>14.499671</v>
      </c>
      <c r="C14" s="23" t="n">
        <v>362.246</v>
      </c>
      <c r="E14" s="25" t="n">
        <f aca="false">(B14-B13)/B13</f>
        <v>-0.224034716083112</v>
      </c>
      <c r="F14" s="25" t="n">
        <f aca="false">(C14-C13)/C13</f>
        <v>-0.0673666107123364</v>
      </c>
    </row>
    <row r="15" customFormat="false" ht="15" hidden="false" customHeight="false" outlineLevel="0" collapsed="false">
      <c r="A15" s="22" t="n">
        <v>44773</v>
      </c>
      <c r="B15" s="23" t="n">
        <v>18.133824</v>
      </c>
      <c r="C15" s="23" t="n">
        <v>391.464</v>
      </c>
      <c r="E15" s="25" t="n">
        <f aca="false">(B15-B14)/B14</f>
        <v>0.250636928244786</v>
      </c>
      <c r="F15" s="25" t="n">
        <f aca="false">(C15-C14)/C14</f>
        <v>0.080657895463304</v>
      </c>
    </row>
    <row r="16" customFormat="false" ht="15" hidden="false" customHeight="false" outlineLevel="0" collapsed="false">
      <c r="A16" s="22" t="n">
        <v>44804</v>
      </c>
      <c r="B16" s="23" t="n">
        <v>13.625078</v>
      </c>
      <c r="C16" s="23" t="n">
        <v>372.698</v>
      </c>
      <c r="E16" s="25" t="n">
        <f aca="false">(B16-B15)/B15</f>
        <v>-0.248637353048094</v>
      </c>
      <c r="F16" s="25" t="n">
        <f aca="false">(C16-C15)/C15</f>
        <v>-0.0479379968528397</v>
      </c>
    </row>
    <row r="17" customFormat="false" ht="15" hidden="false" customHeight="false" outlineLevel="0" collapsed="false">
      <c r="A17" s="22" t="n">
        <v>44834</v>
      </c>
      <c r="B17" s="23" t="n">
        <v>12.123102</v>
      </c>
      <c r="C17" s="23" t="n">
        <v>340.79</v>
      </c>
      <c r="E17" s="25" t="n">
        <f aca="false">(B17-B16)/B16</f>
        <v>-0.110236139565586</v>
      </c>
      <c r="F17" s="25" t="n">
        <f aca="false">(C17-C16)/C16</f>
        <v>-0.0856135530644113</v>
      </c>
    </row>
    <row r="18" customFormat="false" ht="15" hidden="false" customHeight="false" outlineLevel="0" collapsed="false">
      <c r="A18" s="22" t="n">
        <v>44865</v>
      </c>
      <c r="B18" s="23" t="n">
        <v>14.13746</v>
      </c>
      <c r="C18" s="23" t="n">
        <v>359.08</v>
      </c>
      <c r="E18" s="25" t="n">
        <f aca="false">(B18-B17)/B17</f>
        <v>0.166158628377457</v>
      </c>
      <c r="F18" s="25" t="n">
        <f aca="false">(C18-C17)/C17</f>
        <v>0.0536694151823703</v>
      </c>
    </row>
    <row r="19" customFormat="false" ht="15" hidden="false" customHeight="false" outlineLevel="0" collapsed="false">
      <c r="A19" s="22" t="n">
        <v>44895</v>
      </c>
      <c r="B19" s="23" t="n">
        <v>16.85821</v>
      </c>
      <c r="C19" s="23" t="n">
        <v>388.238</v>
      </c>
      <c r="E19" s="25" t="n">
        <f aca="false">(B19-B18)/B18</f>
        <v>0.192449704543815</v>
      </c>
      <c r="F19" s="25" t="n">
        <f aca="false">(C19-C18)/C18</f>
        <v>0.0812019605658907</v>
      </c>
    </row>
    <row r="20" customFormat="false" ht="15" hidden="false" customHeight="false" outlineLevel="0" collapsed="false">
      <c r="A20" s="22" t="n">
        <v>44926</v>
      </c>
      <c r="B20" s="23" t="n">
        <v>14.598595</v>
      </c>
      <c r="C20" s="23" t="n">
        <v>366.577</v>
      </c>
      <c r="E20" s="25" t="n">
        <f aca="false">(B20-B19)/B19</f>
        <v>-0.134036472436872</v>
      </c>
      <c r="F20" s="25" t="n">
        <f aca="false">(C20-C19)/C19</f>
        <v>-0.0557930959875128</v>
      </c>
    </row>
    <row r="21" customFormat="false" ht="15" hidden="false" customHeight="false" outlineLevel="0" collapsed="false">
      <c r="A21" s="22" t="n">
        <v>44957</v>
      </c>
      <c r="B21" s="23" t="n">
        <v>21.077757</v>
      </c>
      <c r="C21" s="23" t="n">
        <v>395.257</v>
      </c>
      <c r="E21" s="25" t="n">
        <f aca="false">(B21-B20)/B20</f>
        <v>0.443820929342858</v>
      </c>
      <c r="F21" s="25" t="n">
        <f aca="false">(C21-C20)/C20</f>
        <v>0.0782373143977937</v>
      </c>
    </row>
    <row r="22" customFormat="false" ht="15" hidden="false" customHeight="false" outlineLevel="0" collapsed="false">
      <c r="A22" s="22" t="n">
        <v>44985</v>
      </c>
      <c r="B22" s="23" t="n">
        <v>23.864816</v>
      </c>
      <c r="C22" s="23" t="n">
        <v>387.435</v>
      </c>
      <c r="E22" s="25" t="n">
        <f aca="false">(B22-B21)/B21</f>
        <v>0.132227494604858</v>
      </c>
      <c r="F22" s="25" t="n">
        <f aca="false">(C22-C21)/C21</f>
        <v>-0.0197896558441723</v>
      </c>
    </row>
    <row r="23" customFormat="false" ht="15" hidden="false" customHeight="false" outlineLevel="0" collapsed="false">
      <c r="A23" s="22" t="n">
        <v>45016</v>
      </c>
      <c r="B23" s="23" t="n">
        <v>27.752432</v>
      </c>
      <c r="C23" s="23" t="n">
        <v>393.935</v>
      </c>
      <c r="E23" s="25" t="n">
        <f aca="false">(B23-B22)/B22</f>
        <v>0.162901570244665</v>
      </c>
      <c r="F23" s="25" t="n">
        <f aca="false">(C23-C22)/C22</f>
        <v>0.0167770077561397</v>
      </c>
    </row>
    <row r="24" customFormat="false" ht="15" hidden="false" customHeight="false" outlineLevel="0" collapsed="false">
      <c r="A24" s="22" t="n">
        <v>45046</v>
      </c>
      <c r="B24" s="23" t="n">
        <v>27.724456</v>
      </c>
      <c r="C24" s="23" t="n">
        <v>400.228</v>
      </c>
      <c r="E24" s="25" t="n">
        <f aca="false">(B24-B23)/B23</f>
        <v>-0.00100805579849719</v>
      </c>
      <c r="F24" s="25" t="n">
        <f aca="false">(C24-C23)/C23</f>
        <v>0.0159747166410702</v>
      </c>
    </row>
    <row r="25" customFormat="false" ht="15" hidden="false" customHeight="false" outlineLevel="0" collapsed="false">
      <c r="A25" s="22" t="n">
        <v>45077</v>
      </c>
      <c r="B25" s="23" t="n">
        <v>39.292216</v>
      </c>
      <c r="C25" s="23" t="n">
        <v>411.766</v>
      </c>
      <c r="E25" s="25" t="n">
        <f aca="false">(B25-B24)/B24</f>
        <v>0.417240287780579</v>
      </c>
      <c r="F25" s="25" t="n">
        <f aca="false">(C25-C24)/C24</f>
        <v>0.0288285677164017</v>
      </c>
    </row>
    <row r="26" customFormat="false" ht="15" hidden="false" customHeight="false" outlineLevel="0" collapsed="false">
      <c r="A26" s="22" t="n">
        <v>45107</v>
      </c>
      <c r="B26" s="23" t="n">
        <v>42.268959</v>
      </c>
      <c r="C26" s="23" t="n">
        <v>428.136</v>
      </c>
      <c r="E26" s="25" t="n">
        <f aca="false">(B26-B25)/B25</f>
        <v>0.0757591020063617</v>
      </c>
      <c r="F26" s="25" t="n">
        <f aca="false">(C26-C25)/C25</f>
        <v>0.0397555893395764</v>
      </c>
    </row>
    <row r="27" customFormat="false" ht="15" hidden="false" customHeight="false" outlineLevel="0" collapsed="false">
      <c r="A27" s="22" t="n">
        <v>45138</v>
      </c>
      <c r="B27" s="23" t="n">
        <v>44.645101</v>
      </c>
      <c r="C27" s="23" t="n">
        <v>431.546</v>
      </c>
      <c r="E27" s="25" t="n">
        <f aca="false">(B27-B26)/B26</f>
        <v>0.0562148218507107</v>
      </c>
      <c r="F27" s="25" t="n">
        <f aca="false">(C27-C26)/C26</f>
        <v>0.00796475886167005</v>
      </c>
    </row>
    <row r="28" customFormat="false" ht="15" hidden="false" customHeight="false" outlineLevel="0" collapsed="false">
      <c r="A28" s="22" t="n">
        <v>45169</v>
      </c>
      <c r="B28" s="23" t="n">
        <v>48.47111</v>
      </c>
      <c r="C28" s="23" t="n">
        <v>435.776</v>
      </c>
      <c r="E28" s="25" t="n">
        <f aca="false">(B28-B27)/B27</f>
        <v>0.0856982941980578</v>
      </c>
      <c r="F28" s="25" t="n">
        <f aca="false">(C28-C27)/C27</f>
        <v>0.00980196780876203</v>
      </c>
    </row>
    <row r="29" customFormat="false" ht="15" hidden="false" customHeight="false" outlineLevel="0" collapsed="false">
      <c r="A29" s="22" t="n">
        <v>45199</v>
      </c>
      <c r="B29" s="23" t="n">
        <v>43.468605</v>
      </c>
      <c r="C29" s="23" t="n">
        <v>414.35</v>
      </c>
      <c r="E29" s="25" t="n">
        <f aca="false">(B29-B28)/B28</f>
        <v>-0.103205909664541</v>
      </c>
      <c r="F29" s="25" t="n">
        <f aca="false">(C29-C28)/C28</f>
        <v>-0.0491674621824056</v>
      </c>
    </row>
    <row r="30" customFormat="false" ht="15" hidden="false" customHeight="false" outlineLevel="0" collapsed="false">
      <c r="A30" s="22" t="n">
        <v>45230</v>
      </c>
      <c r="B30" s="23" t="n">
        <v>44.973553</v>
      </c>
      <c r="C30" s="23" t="n">
        <v>421.339</v>
      </c>
      <c r="E30" s="25" t="n">
        <f aca="false">(B30-B29)/B29</f>
        <v>0.034621492914254</v>
      </c>
      <c r="F30" s="25" t="n">
        <f aca="false">(C30-C29)/C29</f>
        <v>0.0168673826475202</v>
      </c>
    </row>
    <row r="31" customFormat="false" ht="15" hidden="false" customHeight="false" outlineLevel="0" collapsed="false">
      <c r="A31" s="22" t="n">
        <v>45260</v>
      </c>
      <c r="B31" s="23" t="n">
        <v>46.732323</v>
      </c>
      <c r="C31" s="23" t="n">
        <v>444.999</v>
      </c>
      <c r="E31" s="25" t="n">
        <f aca="false">(B31-B30)/B30</f>
        <v>0.0391067612558874</v>
      </c>
      <c r="F31" s="25" t="n">
        <f aca="false">(C31-C30)/C30</f>
        <v>0.0561543080512367</v>
      </c>
    </row>
    <row r="32" customFormat="false" ht="15" hidden="false" customHeight="false" outlineLevel="0" collapsed="false">
      <c r="A32" s="22" t="n">
        <v>45291</v>
      </c>
      <c r="B32" s="23" t="n">
        <v>49.491746</v>
      </c>
      <c r="C32" s="23" t="n">
        <v>462.582</v>
      </c>
      <c r="E32" s="25" t="n">
        <f aca="false">(B32-B31)/B31</f>
        <v>0.0590474177797667</v>
      </c>
      <c r="F32" s="25" t="n">
        <f aca="false">(C32-C31)/C31</f>
        <v>0.0395124483425805</v>
      </c>
    </row>
    <row r="33" customFormat="false" ht="15" hidden="false" customHeight="false" outlineLevel="0" collapsed="false">
      <c r="A33" s="22" t="n">
        <v>45322</v>
      </c>
      <c r="B33" s="23" t="n">
        <v>66.119582</v>
      </c>
      <c r="C33" s="23" t="n">
        <v>481.112</v>
      </c>
      <c r="E33" s="25" t="n">
        <f aca="false">(B33-B32)/B32</f>
        <v>0.335971901253999</v>
      </c>
      <c r="F33" s="25" t="n">
        <f aca="false">(C33-C32)/C32</f>
        <v>0.0400577627317968</v>
      </c>
    </row>
    <row r="34" customFormat="false" ht="15" hidden="false" customHeight="false" outlineLevel="0" collapsed="false">
      <c r="A34" s="22" t="n">
        <v>45351</v>
      </c>
      <c r="B34" s="23" t="n">
        <v>82.228735</v>
      </c>
      <c r="C34" s="23" t="n">
        <v>499.117</v>
      </c>
      <c r="E34" s="25" t="n">
        <f aca="false">(B34-B33)/B33</f>
        <v>0.243636643074967</v>
      </c>
      <c r="F34" s="25" t="n">
        <f aca="false">(C34-C33)/C33</f>
        <v>0.0374237183857397</v>
      </c>
    </row>
    <row r="35" customFormat="false" ht="15" hidden="false" customHeight="false" outlineLevel="0" collapsed="false">
      <c r="A35" s="22" t="n">
        <v>45382</v>
      </c>
      <c r="B35" s="23" t="n">
        <v>90.305038</v>
      </c>
      <c r="C35" s="23" t="n">
        <v>510.656</v>
      </c>
      <c r="E35" s="25" t="n">
        <f aca="false">(B35-B34)/B34</f>
        <v>0.0982175269995336</v>
      </c>
      <c r="F35" s="25" t="n">
        <f aca="false">(C35-C34)/C34</f>
        <v>0.023118827849983</v>
      </c>
    </row>
    <row r="36" customFormat="false" ht="15" hidden="false" customHeight="false" outlineLevel="0" collapsed="false">
      <c r="A36" s="22" t="n">
        <v>45412</v>
      </c>
      <c r="B36" s="23" t="n">
        <v>88.738922</v>
      </c>
      <c r="C36" s="23" t="n">
        <v>499.155</v>
      </c>
      <c r="E36" s="25" t="n">
        <f aca="false">(B36-B35)/B35</f>
        <v>-0.0173425097279733</v>
      </c>
      <c r="F36" s="25" t="n">
        <f aca="false">(C36-C35)/C35</f>
        <v>-0.0225220109036221</v>
      </c>
    </row>
    <row r="37" customFormat="false" ht="15" hidden="false" customHeight="false" outlineLevel="0" collapsed="false">
      <c r="A37" s="22" t="n">
        <v>45443</v>
      </c>
      <c r="B37" s="23" t="n">
        <v>109.571166</v>
      </c>
      <c r="C37" s="23" t="n">
        <v>514.854</v>
      </c>
      <c r="E37" s="25" t="n">
        <f aca="false">(B37-B36)/B36</f>
        <v>0.234758813049363</v>
      </c>
      <c r="F37" s="25" t="n">
        <f aca="false">(C37-C36)/C36</f>
        <v>0.0314511524476366</v>
      </c>
    </row>
    <row r="38" customFormat="false" ht="15" hidden="false" customHeight="false" outlineLevel="0" collapsed="false">
      <c r="A38" s="22" t="n">
        <v>45473</v>
      </c>
      <c r="B38" s="23" t="n">
        <v>123.480461</v>
      </c>
      <c r="C38" s="23" t="n">
        <v>533.02</v>
      </c>
      <c r="E38" s="25" t="n">
        <f aca="false">(B38-B37)/B37</f>
        <v>0.126943022583149</v>
      </c>
      <c r="F38" s="25" t="n">
        <f aca="false">(C38-C37)/C37</f>
        <v>0.0352837891907219</v>
      </c>
    </row>
    <row r="39" customFormat="false" ht="15" hidden="false" customHeight="false" outlineLevel="0" collapsed="false">
      <c r="A39" s="22" t="n">
        <v>45504</v>
      </c>
      <c r="B39" s="23" t="n">
        <v>107.218302</v>
      </c>
      <c r="C39" s="23" t="n">
        <v>521.933</v>
      </c>
      <c r="E39" s="25" t="n">
        <f aca="false">(B39-B38)/B38</f>
        <v>-0.131698236857085</v>
      </c>
      <c r="F39" s="25" t="n">
        <f aca="false">(C39-C38)/C38</f>
        <v>-0.0208003452028066</v>
      </c>
    </row>
    <row r="40" customFormat="false" ht="15" hidden="false" customHeight="false" outlineLevel="0" collapsed="false">
      <c r="A40" s="22" t="n">
        <v>45535</v>
      </c>
      <c r="B40" s="23" t="n">
        <v>119.312471</v>
      </c>
      <c r="C40" s="23" t="n">
        <v>552.08</v>
      </c>
      <c r="E40" s="25" t="n">
        <f aca="false">(B40-B39)/B39</f>
        <v>0.112799482685335</v>
      </c>
      <c r="F40" s="25" t="n">
        <f aca="false">(C40-C39)/C39</f>
        <v>0.0577602872399332</v>
      </c>
    </row>
    <row r="41" customFormat="false" ht="15" hidden="false" customHeight="false" outlineLevel="0" collapsed="false">
      <c r="A41" s="22" t="n">
        <v>45565</v>
      </c>
      <c r="B41" s="23" t="n">
        <v>124.870477</v>
      </c>
      <c r="C41" s="23" t="n">
        <v>562.912</v>
      </c>
      <c r="E41" s="25" t="n">
        <f aca="false">(B41-B40)/B40</f>
        <v>0.0465836132083795</v>
      </c>
      <c r="F41" s="25" t="n">
        <f aca="false">(C41-C40)/C40</f>
        <v>0.019620344877554</v>
      </c>
    </row>
    <row r="42" customFormat="false" ht="15" hidden="false" customHeight="false" outlineLevel="0" collapsed="false">
      <c r="A42" s="22" t="n">
        <v>45596</v>
      </c>
      <c r="B42" s="23" t="n">
        <v>135.346322</v>
      </c>
      <c r="C42" s="23" t="n">
        <v>561.006</v>
      </c>
      <c r="E42" s="25" t="n">
        <f aca="false">(B42-B41)/B41</f>
        <v>0.0838936892985521</v>
      </c>
      <c r="F42" s="25" t="n">
        <f aca="false">(C42-C41)/C41</f>
        <v>-0.00338596441362071</v>
      </c>
    </row>
    <row r="43" customFormat="false" ht="15" hidden="false" customHeight="false" outlineLevel="0" collapsed="false">
      <c r="A43" s="22" t="n">
        <v>45626</v>
      </c>
      <c r="B43" s="23" t="n">
        <v>138.195192</v>
      </c>
      <c r="C43" s="23" t="n">
        <v>591.963</v>
      </c>
      <c r="E43" s="25" t="n">
        <f aca="false">(B43-B42)/B42</f>
        <v>0.021048743385875</v>
      </c>
      <c r="F43" s="25" t="n">
        <f aca="false">(C43-C42)/C42</f>
        <v>0.0551812280082566</v>
      </c>
    </row>
    <row r="44" customFormat="false" ht="15" hidden="false" customHeight="false" outlineLevel="0" collapsed="false">
      <c r="A44" s="22" t="n">
        <v>45657</v>
      </c>
      <c r="B44" s="23" t="n">
        <v>144.422677</v>
      </c>
      <c r="C44" s="23" t="n">
        <v>583.483</v>
      </c>
      <c r="E44" s="25" t="n">
        <f aca="false">(B44-B43)/B43</f>
        <v>0.0450629642744735</v>
      </c>
      <c r="F44" s="25" t="n">
        <f aca="false">(C44-C43)/C43</f>
        <v>-0.0143252196505525</v>
      </c>
    </row>
    <row r="45" customFormat="false" ht="15" hidden="false" customHeight="false" outlineLevel="0" collapsed="false">
      <c r="A45" s="22" t="n">
        <v>45688</v>
      </c>
      <c r="B45" s="23" t="n">
        <v>120.03067</v>
      </c>
      <c r="C45" s="23" t="n">
        <v>593.211</v>
      </c>
      <c r="E45" s="25" t="n">
        <f aca="false">(B45-B44)/B44</f>
        <v>-0.1688931925836</v>
      </c>
      <c r="F45" s="25" t="n">
        <f aca="false">(C45-C44)/C44</f>
        <v>0.0166722937943352</v>
      </c>
    </row>
    <row r="46" customFormat="false" ht="15" hidden="false" customHeight="false" outlineLevel="0" collapsed="false">
      <c r="A46" s="22" t="n">
        <v>45716</v>
      </c>
      <c r="B46" s="23" t="n">
        <v>124.879081</v>
      </c>
      <c r="C46" s="23" t="n">
        <v>585.681</v>
      </c>
      <c r="E46" s="25" t="n">
        <f aca="false">(B46-B45)/B45</f>
        <v>0.0403931011965525</v>
      </c>
      <c r="F46" s="25" t="n">
        <f aca="false">(C46-C45)/C45</f>
        <v>-0.0126936284054071</v>
      </c>
    </row>
    <row r="47" customFormat="false" ht="15" hidden="false" customHeight="false" outlineLevel="0" collapsed="false">
      <c r="A47" s="22" t="n">
        <v>45747</v>
      </c>
      <c r="B47" s="23" t="n">
        <v>94.287777</v>
      </c>
      <c r="C47" s="23" t="n">
        <v>499.55</v>
      </c>
      <c r="E47" s="25" t="n">
        <f aca="false">(B47-B46)/B46</f>
        <v>-0.244967401705975</v>
      </c>
      <c r="F47" s="25" t="n">
        <f aca="false">(C47-C46)/C46</f>
        <v>-0.147061284214444</v>
      </c>
    </row>
    <row r="48" customFormat="false" ht="15" hidden="false" customHeight="false" outlineLevel="0" collapsed="false">
      <c r="A48" s="22" t="n">
        <v>45777</v>
      </c>
      <c r="B48" s="23" t="n">
        <v>114.473019</v>
      </c>
      <c r="C48" s="23" t="n">
        <v>560.332</v>
      </c>
      <c r="E48" s="25" t="n">
        <f aca="false">(B48-B47)/B47</f>
        <v>0.214081216486841</v>
      </c>
      <c r="F48" s="25" t="n">
        <f aca="false">(C48-C47)/C47</f>
        <v>0.12167350615554</v>
      </c>
    </row>
    <row r="49" customFormat="false" ht="15" hidden="false" customHeight="false" outlineLevel="0" collapsed="false">
      <c r="A49" s="22" t="n">
        <v>45808</v>
      </c>
      <c r="B49" s="23" t="n">
        <v>135.098158</v>
      </c>
      <c r="C49" s="23" t="n">
        <v>582.706</v>
      </c>
      <c r="E49" s="25" t="n">
        <f aca="false">(B49-B48)/B48</f>
        <v>0.180174675047227</v>
      </c>
      <c r="F49" s="25" t="n">
        <f aca="false">(C49-C48)/C48</f>
        <v>0.0399298987029119</v>
      </c>
    </row>
    <row r="50" customFormat="false" ht="15" hidden="false" customHeight="false" outlineLevel="0" collapsed="false">
      <c r="A50" s="22" t="n">
        <v>45838</v>
      </c>
      <c r="B50" s="23" t="n">
        <v>159.31352</v>
      </c>
      <c r="C50" s="23" t="n">
        <v>620.08</v>
      </c>
      <c r="E50" s="25" t="n">
        <f aca="false">(B50-B49)/B49</f>
        <v>0.179242725130272</v>
      </c>
      <c r="F50" s="25" t="n">
        <f aca="false">(C50-C49)/C49</f>
        <v>0.0641386908664061</v>
      </c>
    </row>
    <row r="51" customFormat="false" ht="15" hidden="false" customHeight="false" outlineLevel="0" collapsed="false">
      <c r="A51" s="22" t="n">
        <v>45869</v>
      </c>
      <c r="B51" s="23" t="n">
        <v>173.69113</v>
      </c>
      <c r="C51" s="23" t="n">
        <v>616.491</v>
      </c>
      <c r="E51" s="25" t="n">
        <f aca="false">(B51-B50)/B50</f>
        <v>0.0902472684050919</v>
      </c>
      <c r="F51" s="25" t="n">
        <f aca="false">(C51-C50)/C50</f>
        <v>-0.00578796284350415</v>
      </c>
    </row>
    <row r="52" customFormat="false" ht="15" hidden="false" customHeight="false" outlineLevel="0" collapsed="false">
      <c r="A52" s="22" t="n">
        <v>45900</v>
      </c>
      <c r="B52" s="23" t="n">
        <v>174.151054</v>
      </c>
      <c r="C52" s="23" t="n">
        <v>639.624</v>
      </c>
      <c r="E52" s="25" t="n">
        <f aca="false">(B52-B51)/B51</f>
        <v>0.00264794178033156</v>
      </c>
      <c r="F52" s="25" t="n">
        <f aca="false">(C52-C51)/C51</f>
        <v>0.0375236621459195</v>
      </c>
    </row>
    <row r="53" customFormat="false" ht="15" hidden="false" customHeight="false" outlineLevel="0" collapsed="false">
      <c r="A53" s="22" t="n">
        <v>45930</v>
      </c>
      <c r="B53" s="23" t="n">
        <v>187.599399</v>
      </c>
      <c r="C53" s="23" t="n">
        <v>665.412</v>
      </c>
      <c r="E53" s="25" t="n">
        <f aca="false">(B53-B52)/B52</f>
        <v>0.0772223003600083</v>
      </c>
      <c r="F53" s="25" t="n">
        <f aca="false">(C53-C52)/C52</f>
        <v>0.0403174364939402</v>
      </c>
    </row>
    <row r="54" customFormat="false" ht="15" hidden="false" customHeight="false" outlineLevel="0" collapsed="false">
      <c r="A54" s="22" t="n">
        <v>45961</v>
      </c>
      <c r="B54" s="23" t="n">
        <v>202.467766</v>
      </c>
      <c r="C54" s="23" t="n">
        <v>678.189</v>
      </c>
      <c r="E54" s="25" t="n">
        <f aca="false">(B54-B53)/B53</f>
        <v>0.0792559415395569</v>
      </c>
      <c r="F54" s="25" t="n">
        <f aca="false">(C54-C53)/C53</f>
        <v>0.0192016374817405</v>
      </c>
    </row>
    <row r="55" customFormat="false" ht="15" hidden="false" customHeight="false" outlineLevel="0" collapsed="false">
      <c r="A55" s="22" t="n">
        <v>45991</v>
      </c>
      <c r="B55" s="23" t="n">
        <v>176.980565</v>
      </c>
      <c r="C55" s="23" t="n">
        <v>679.512</v>
      </c>
      <c r="E55" s="25" t="n">
        <f aca="false">(B55-B54)/B54</f>
        <v>-0.12588275903632</v>
      </c>
      <c r="F55" s="25" t="n">
        <f aca="false">(C55-C54)/C54</f>
        <v>0.00195078363111165</v>
      </c>
    </row>
    <row r="56" customFormat="false" ht="15" hidden="false" customHeight="false" outlineLevel="0" collapsed="false">
      <c r="A56" s="22" t="n">
        <v>46022</v>
      </c>
      <c r="B56" s="23" t="n">
        <v>188.839779</v>
      </c>
      <c r="C56" s="23" t="n">
        <v>681.282</v>
      </c>
      <c r="E56" s="25" t="n">
        <f aca="false">(B56-B55)/B55</f>
        <v>0.0670085667316068</v>
      </c>
      <c r="F56" s="25" t="n">
        <f aca="false">(C56-C55)/C55</f>
        <v>0.00260481051107279</v>
      </c>
    </row>
    <row r="57" customFormat="false" ht="15" hidden="false" customHeight="false" outlineLevel="0" collapsed="false">
      <c r="A57" s="22" t="n">
        <v>46053</v>
      </c>
      <c r="B57" s="23" t="n">
        <v>191.119656</v>
      </c>
      <c r="C57" s="23" t="n">
        <v>690.058</v>
      </c>
      <c r="E57" s="25" t="n">
        <f aca="false">(B57-B56)/B56</f>
        <v>0.0120730759804585</v>
      </c>
      <c r="F57" s="25" t="n">
        <f aca="false">(C57-C56)/C56</f>
        <v>0.0128815967543542</v>
      </c>
    </row>
    <row r="58" customFormat="false" ht="15" hidden="false" customHeight="false" outlineLevel="0" collapsed="false">
      <c r="A58" s="22" t="n">
        <v>46081</v>
      </c>
      <c r="B58" s="23" t="n">
        <v>177.18041</v>
      </c>
      <c r="C58" s="23" t="n">
        <v>684.095</v>
      </c>
      <c r="E58" s="25" t="n">
        <f aca="false">(B58-B57)/B57</f>
        <v>-0.0729346540891639</v>
      </c>
      <c r="F58" s="25" t="n">
        <f aca="false">(C58-C57)/C57</f>
        <v>-0.00864130261514245</v>
      </c>
    </row>
    <row r="59" customFormat="false" ht="15" hidden="false" customHeight="false" outlineLevel="0" collapsed="false">
      <c r="A59" s="22" t="n">
        <v>46112</v>
      </c>
      <c r="B59" s="23" t="n">
        <v>177.39</v>
      </c>
      <c r="C59" s="23" t="n">
        <v>655.83</v>
      </c>
      <c r="E59" s="25" t="n">
        <f aca="false">(B59-B58)/B58</f>
        <v>0.00118291858563817</v>
      </c>
      <c r="F59" s="25" t="n">
        <f aca="false">(C59-C58)/C58</f>
        <v>-0.0413173608928584</v>
      </c>
    </row>
    <row r="60" customFormat="false" ht="15" hidden="false" customHeight="false" outlineLevel="0" collapsed="false">
      <c r="A60" s="22" t="n">
        <v>46142</v>
      </c>
      <c r="B60" s="23" t="n">
        <v>198.45</v>
      </c>
      <c r="C60" s="23" t="n">
        <v>720.65</v>
      </c>
      <c r="E60" s="25" t="n">
        <f aca="false">(B60-B59)/B59</f>
        <v>0.118721461187215</v>
      </c>
      <c r="F60" s="25" t="n">
        <f aca="false">(C60-C59)/C59</f>
        <v>0.0988365887501333</v>
      </c>
    </row>
    <row r="61" customFormat="false" ht="15" hidden="false" customHeight="false" outlineLevel="0" collapsed="false">
      <c r="A61" s="22" t="n">
        <v>46173</v>
      </c>
      <c r="B61" s="23" t="n">
        <v>214.25</v>
      </c>
      <c r="C61" s="23" t="n">
        <v>756.48</v>
      </c>
      <c r="E61" s="25" t="n">
        <f aca="false">(B61-B60)/B60</f>
        <v>0.0796170319979844</v>
      </c>
      <c r="F61" s="25" t="n">
        <f aca="false">(C61-C60)/C60</f>
        <v>0.0497190036772359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2026-07-05T16:19:30Z</dcterms:created>
  <dc:creator>openpyxl</dc:creator>
  <dc:description/>
  <dc:language>en-US</dc:language>
  <cp:lastModifiedBy/>
  <dcterms:modified xsi:type="dcterms:W3CDTF">2026-07-05T16:19:30Z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